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Membuat Perhiasan Perak" sheetId="2" state="visible" r:id="rId2"/>
    <sheet name="Membaca Buku" sheetId="3" state="visible" r:id="rId3"/>
    <sheet name="Membatik Bersama" sheetId="4" state="visible" r:id="rId4"/>
    <sheet name="Membuat Keramik" sheetId="5" state="visible" r:id="rId5"/>
    <sheet name="Meracik Parfum" sheetId="6" state="visible" r:id="rId6"/>
    <sheet name="Candi &amp; Senj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1">
    <font>
      <name val="Calibri"/>
      <family val="2"/>
      <color theme="1"/>
      <sz val="11"/>
      <scheme val="minor"/>
    </font>
    <font>
      <name val="Arial"/>
      <b val="1"/>
      <color rgb="005B3A29"/>
      <sz val="14"/>
    </font>
    <font>
      <name val="Arial"/>
      <i val="1"/>
      <sz val="10"/>
    </font>
    <font>
      <name val="Arial"/>
      <b val="1"/>
      <color rgb="00FFFFFF"/>
    </font>
    <font>
      <name val="Arial"/>
      <color rgb="000563C1"/>
      <sz val="10"/>
      <u val="single"/>
    </font>
    <font>
      <name val="Arial"/>
      <color rgb="00000000"/>
      <sz val="10"/>
    </font>
    <font>
      <name val="Arial"/>
      <b val="1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3E9DC"/>
      </patternFill>
    </fill>
    <fill>
      <patternFill patternType="solid">
        <fgColor rgb="00FCE4EC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A58A"/>
      </left>
      <right style="thin">
        <color rgb="00BFA58A"/>
      </right>
      <top style="thin">
        <color rgb="00BFA58A"/>
      </top>
      <bottom style="thin">
        <color rgb="00BFA58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3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3" borderId="0" pivotButton="0" quotePrefix="0" xfId="0"/>
    <xf numFmtId="0" fontId="0" fillId="3" borderId="0" pivotButton="0" quotePrefix="0" xfId="0"/>
    <xf numFmtId="0" fontId="7" fillId="3" borderId="0" applyAlignment="1" pivotButton="0" quotePrefix="0" xfId="0">
      <alignment vertical="top" wrapText="1"/>
    </xf>
    <xf numFmtId="0" fontId="8" fillId="4" borderId="0" pivotButton="0" quotePrefix="0" xfId="0"/>
    <xf numFmtId="0" fontId="0" fillId="4" borderId="0" pivotButton="0" quotePrefix="0" xfId="0"/>
    <xf numFmtId="0" fontId="7" fillId="4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3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9" fillId="4" borderId="1" applyAlignment="1" pivotButton="0" quotePrefix="0" xfId="0">
      <alignment vertical="top" wrapText="1"/>
    </xf>
    <xf numFmtId="0" fontId="8" fillId="5" borderId="1" pivotButton="0" quotePrefix="0" xfId="0"/>
    <xf numFmtId="3" fontId="8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embuat Perhiasan Perak'!A1" TargetMode="External" Id="rId1" /><Relationship Type="http://schemas.openxmlformats.org/officeDocument/2006/relationships/hyperlink" Target="#'Membaca Buku'!A1" TargetMode="External" Id="rId2" /><Relationship Type="http://schemas.openxmlformats.org/officeDocument/2006/relationships/hyperlink" Target="#'Membatik Bersama'!A1" TargetMode="External" Id="rId3" /><Relationship Type="http://schemas.openxmlformats.org/officeDocument/2006/relationships/hyperlink" Target="#'Membuat Keramik'!A1" TargetMode="External" Id="rId4" /><Relationship Type="http://schemas.openxmlformats.org/officeDocument/2006/relationships/hyperlink" Target="#'Meracik Parfum'!A1" TargetMode="External" Id="rId5" /><Relationship Type="http://schemas.openxmlformats.org/officeDocument/2006/relationships/hyperlink" Target="#'Candi &amp; Senja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Mediterranea+Store+Tirtodipuran+Yogyakarta" TargetMode="External" Id="rId1" /><Relationship Type="http://schemas.openxmlformats.org/officeDocument/2006/relationships/hyperlink" Target="https://www.google.com/maps/search/?api=1&amp;query=Kotagede+Yogyakarta" TargetMode="External" Id="rId2" /><Relationship Type="http://schemas.openxmlformats.org/officeDocument/2006/relationships/hyperlink" Target="https://www.google.com/maps/search/?api=1&amp;query=Masjid+Gede+Mataram+Kotagede" TargetMode="External" Id="rId3" /><Relationship Type="http://schemas.openxmlformats.org/officeDocument/2006/relationships/hyperlink" Target="https://www.google.com/maps/search/?api=1&amp;query=Sate+Karang+Kotagede" TargetMode="External" Id="rId4" /><Relationship Type="http://schemas.openxmlformats.org/officeDocument/2006/relationships/hyperlink" Target="https://www.google.com/maps/search/?api=1&amp;query=Salim+Silver+Kotagede" TargetMode="External" Id="rId5" /><Relationship Type="http://schemas.openxmlformats.org/officeDocument/2006/relationships/hyperlink" Target="https://www.google.com/maps/search/?api=1&amp;query=Demangan+Yogyakarta" TargetMode="External" Id="rId6" /><Relationship Type="http://schemas.openxmlformats.org/officeDocument/2006/relationships/hyperlink" Target="https://www.google.com/maps/search/?api=1&amp;query=Cosan+Coffee+Demangan+Yogyakarta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Paraisa+Bakehouse+Jogja" TargetMode="External" Id="rId1" /><Relationship Type="http://schemas.openxmlformats.org/officeDocument/2006/relationships/hyperlink" Target="https://www.google.com/maps/search/?api=1&amp;query=Kaliurang" TargetMode="External" Id="rId2" /><Relationship Type="http://schemas.openxmlformats.org/officeDocument/2006/relationships/hyperlink" Target="https://www.google.com/maps/search/?api=1&amp;query=Museum+Ullen+Sentalu" TargetMode="External" Id="rId3" /><Relationship Type="http://schemas.openxmlformats.org/officeDocument/2006/relationships/hyperlink" Target="https://www.google.com/maps/search/?api=1&amp;query=Wisanggeni+Coffee+Kaliurang" TargetMode="External" Id="rId4" /><Relationship Type="http://schemas.openxmlformats.org/officeDocument/2006/relationships/hyperlink" Target="https://www.google.com/maps/search/?api=1&amp;query=Buku+Akik+Yogyakarta" TargetMode="External" Id="rId5" /><Relationship Type="http://schemas.openxmlformats.org/officeDocument/2006/relationships/hyperlink" Target="https://www.google.com/maps/search/?api=1&amp;query=Buku+Akik+Ngaglik+Sleman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ViaVia+Jogja+Prawirotaman" TargetMode="External" Id="rId1" /><Relationship Type="http://schemas.openxmlformats.org/officeDocument/2006/relationships/hyperlink" Target="https://www.google.com/maps/search/?api=1&amp;query=Taman+Sari+Yogyakarta" TargetMode="External" Id="rId2" /><Relationship Type="http://schemas.openxmlformats.org/officeDocument/2006/relationships/hyperlink" Target="https://www.google.com/maps/search/?api=1&amp;query=Warung+Bu+Ageng+Tirtodipuran" TargetMode="External" Id="rId3" /><Relationship Type="http://schemas.openxmlformats.org/officeDocument/2006/relationships/hyperlink" Target="https://www.google.com/maps/search/?api=1&amp;query=Batik+Winotosastro+Tirtodipuran" TargetMode="External" Id="rId4" /><Relationship Type="http://schemas.openxmlformats.org/officeDocument/2006/relationships/hyperlink" Target="https://www.google.com/maps/search/?api=1&amp;query=Roaster+and+Bear+Yogyakarta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Mediterranea+Store+Tirtodipuran+Yogyakarta" TargetMode="External" Id="rId1" /><Relationship Type="http://schemas.openxmlformats.org/officeDocument/2006/relationships/hyperlink" Target="https://www.google.com/maps/search/?api=1&amp;query=Kasongan+Bantul" TargetMode="External" Id="rId2" /><Relationship Type="http://schemas.openxmlformats.org/officeDocument/2006/relationships/hyperlink" Target="https://www.google.com/maps/search/?api=1&amp;query=Baravia+Pottery+Kasongan" TargetMode="External" Id="rId3" /><Relationship Type="http://schemas.openxmlformats.org/officeDocument/2006/relationships/hyperlink" Target="https://www.google.com/maps/search/?api=1&amp;query=Sate+Klathak+Pak+Pong" TargetMode="External" Id="rId4" /><Relationship Type="http://schemas.openxmlformats.org/officeDocument/2006/relationships/hyperlink" Target="https://www.google.com/maps/search/?api=1&amp;query=Hutan+Pinus+Mangunan" TargetMode="External" Id="rId5" /><Relationship Type="http://schemas.openxmlformats.org/officeDocument/2006/relationships/hyperlink" Target="https://www.google.com/maps/search/?api=1&amp;query=Hutan+Pinus+Mangunan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search/?api=1&amp;query=Roaster+and+Bear+Yogyakarta" TargetMode="External" Id="rId1" /><Relationship Type="http://schemas.openxmlformats.org/officeDocument/2006/relationships/hyperlink" Target="https://www.google.com/maps/search/?api=1&amp;query=AICare+The+Label+Jogja" TargetMode="External" Id="rId2" /><Relationship Type="http://schemas.openxmlformats.org/officeDocument/2006/relationships/hyperlink" Target="https://www.google.com/maps/search/?api=1&amp;query=Kotabaru+Yogyakarta" TargetMode="External" Id="rId3" /><Relationship Type="http://schemas.openxmlformats.org/officeDocument/2006/relationships/hyperlink" Target="https://www.google.com/maps/search/?api=1&amp;query=Museum+Affandi+Yogyakarta" TargetMode="External" Id="rId4" /><Relationship Type="http://schemas.openxmlformats.org/officeDocument/2006/relationships/hyperlink" Target="https://www.google.com/maps/search/?api=1&amp;query=Cosan+Coffee+Demangan+Yogyakarta" TargetMode="External" Id="rId5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search/?api=1&amp;query=Cosan+Coffee+Demangan+Yogyakarta" TargetMode="External" Id="rId1" /><Relationship Type="http://schemas.openxmlformats.org/officeDocument/2006/relationships/hyperlink" Target="https://www.google.com/maps/search/?api=1&amp;query=Candi+Ijo" TargetMode="External" Id="rId2" /><Relationship Type="http://schemas.openxmlformats.org/officeDocument/2006/relationships/hyperlink" Target="https://www.google.com/maps/search/?api=1&amp;query=Candi+Ijo" TargetMode="External" Id="rId3" /><Relationship Type="http://schemas.openxmlformats.org/officeDocument/2006/relationships/hyperlink" Target="https://www.google.com/maps/search/?api=1&amp;query=Abhayagiri+Restaurant+Sumberwatu" TargetMode="External" Id="rId4" /><Relationship Type="http://schemas.openxmlformats.org/officeDocument/2006/relationships/hyperlink" Target="https://www.google.com/maps/search/?api=1&amp;query=Candi+Plaosan" TargetMode="External" Id="rId5" /><Relationship Type="http://schemas.openxmlformats.org/officeDocument/2006/relationships/hyperlink" Target="https://www.google.com/maps/search/?api=1&amp;query=Cosan+Coffee+Demangan+Yogyakarta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8" customWidth="1" min="3" max="3"/>
    <col width="8" customWidth="1" min="4" max="4"/>
    <col width="10" customWidth="1" min="5" max="5"/>
    <col width="11" customWidth="1" min="6" max="6"/>
    <col width="8" customWidth="1" min="7" max="7"/>
    <col width="10" customWidth="1" min="8" max="8"/>
    <col width="14" customWidth="1" min="9" max="9"/>
    <col width="26" customWidth="1" min="10" max="10"/>
  </cols>
  <sheetData>
    <row r="1">
      <c r="A1" s="1" t="inlineStr">
        <is>
          <t>Rencana Jalan-Jalan Jogja — Sabtu, 3 Oktober 2026 (09.00–18.00)</t>
        </is>
      </c>
    </row>
    <row r="2">
      <c r="A2" s="2" t="inlineStr">
        <is>
          <t>Profil: perempuan 24–25 th · suka tempat tenang · caffe latte · roti savory · cheesecake · + hadiah kenang-kenangan</t>
        </is>
      </c>
    </row>
    <row r="4">
      <c r="A4" s="3" t="inlineStr">
        <is>
          <t>Plan (nama sheet)</t>
        </is>
      </c>
      <c r="B4" s="3" t="inlineStr">
        <is>
          <t>Hadiah kenang-kenangan</t>
        </is>
      </c>
      <c r="C4" s="3" t="inlineStr">
        <is>
          <t>Tenang</t>
        </is>
      </c>
      <c r="D4" s="3" t="inlineStr">
        <is>
          <t>Latte</t>
        </is>
      </c>
      <c r="E4" s="3" t="inlineStr">
        <is>
          <t>Roti savory</t>
        </is>
      </c>
      <c r="F4" s="3" t="inlineStr">
        <is>
          <t>Cheesecake</t>
        </is>
      </c>
      <c r="G4" s="3" t="inlineStr">
        <is>
          <t>Hadiah</t>
        </is>
      </c>
      <c r="H4" s="3" t="inlineStr">
        <is>
          <t>Skor (maks 25)</t>
        </is>
      </c>
      <c r="I4" s="3" t="inlineStr">
        <is>
          <t>Est. Biaya / Orang (Rp)</t>
        </is>
      </c>
      <c r="J4" s="3" t="inlineStr">
        <is>
          <t>Wajib booking?</t>
        </is>
      </c>
    </row>
    <row r="5" ht="48" customHeight="1">
      <c r="A5" s="4" t="inlineStr">
        <is>
          <t>Membuat Perhiasan Perak</t>
        </is>
      </c>
      <c r="B5" s="5" t="inlineStr">
        <is>
          <t>Liontin/gelang perak yang KAMU buat untuknya (atau saling membuatkan), dengan grafir inisial atau tanggal '03.</t>
        </is>
      </c>
      <c r="C5" s="6" t="n">
        <v>4</v>
      </c>
      <c r="D5" s="6" t="n">
        <v>5</v>
      </c>
      <c r="E5" s="6" t="n">
        <v>5</v>
      </c>
      <c r="F5" s="6" t="n">
        <v>5</v>
      </c>
      <c r="G5" s="6" t="n">
        <v>5</v>
      </c>
      <c r="H5" s="6">
        <f>SUM(C5:G5)</f>
        <v/>
      </c>
      <c r="I5" s="7">
        <f>'Membuat Perhiasan Perak'!I15</f>
        <v/>
      </c>
      <c r="J5" s="5" t="inlineStr">
        <is>
          <t>Ya — workshop perak H-3</t>
        </is>
      </c>
    </row>
    <row r="6" ht="48" customHeight="1">
      <c r="A6" s="4" t="inlineStr">
        <is>
          <t>Membaca Buku</t>
        </is>
      </c>
      <c r="B6" s="5" t="inlineStr">
        <is>
          <t>Tukar buku: masing-masing memilihkan satu buku untuk yang lain di Buku Akik, lalu tulis pesan tangan di halaman pertama + selipkan pembatas buku.</t>
        </is>
      </c>
      <c r="C6" s="6" t="n">
        <v>5</v>
      </c>
      <c r="D6" s="6" t="n">
        <v>4</v>
      </c>
      <c r="E6" s="6" t="n">
        <v>5</v>
      </c>
      <c r="F6" s="6" t="n">
        <v>1</v>
      </c>
      <c r="G6" s="6" t="n">
        <v>4</v>
      </c>
      <c r="H6" s="6">
        <f>SUM(C6:G6)</f>
        <v/>
      </c>
      <c r="I6" s="7">
        <f>'Membaca Buku'!I14</f>
        <v/>
      </c>
      <c r="J6" s="5" t="inlineStr">
        <is>
          <t>Tidak (opsional tur museum)</t>
        </is>
      </c>
    </row>
    <row r="7" ht="48" customHeight="1">
      <c r="A7" s="4" t="inlineStr">
        <is>
          <t>Membatik Bersama</t>
        </is>
      </c>
      <c r="B7" s="5" t="inlineStr">
        <is>
          <t>Kain/saputangan batik tulis motif yang kamu rancang untuknya (misal inisial dia atau motif bunga favoritnya).</t>
        </is>
      </c>
      <c r="C7" s="6" t="n">
        <v>3</v>
      </c>
      <c r="D7" s="6" t="n">
        <v>5</v>
      </c>
      <c r="E7" s="6" t="n">
        <v>5</v>
      </c>
      <c r="F7" s="6" t="n">
        <v>4</v>
      </c>
      <c r="G7" s="6" t="n">
        <v>4</v>
      </c>
      <c r="H7" s="6">
        <f>SUM(C7:G7)</f>
        <v/>
      </c>
      <c r="I7" s="7">
        <f>'Membatik Bersama'!I15</f>
        <v/>
      </c>
      <c r="J7" s="5" t="inlineStr">
        <is>
          <t>Ya — kelas batik</t>
        </is>
      </c>
    </row>
    <row r="8" ht="48" customHeight="1">
      <c r="A8" s="4" t="inlineStr">
        <is>
          <t>Membuat Keramik</t>
        </is>
      </c>
      <c r="B8" s="5" t="inlineStr">
        <is>
          <t>Mug/piring kecil yang kamu buat &amp; lukis untuknya (tulis tanggal di bawahnya).</t>
        </is>
      </c>
      <c r="C8" s="6" t="n">
        <v>5</v>
      </c>
      <c r="D8" s="6" t="n">
        <v>5</v>
      </c>
      <c r="E8" s="6" t="n">
        <v>5</v>
      </c>
      <c r="F8" s="6" t="n">
        <v>1</v>
      </c>
      <c r="G8" s="6" t="n">
        <v>4</v>
      </c>
      <c r="H8" s="6">
        <f>SUM(C8:G8)</f>
        <v/>
      </c>
      <c r="I8" s="7">
        <f>'Membuat Keramik'!I14</f>
        <v/>
      </c>
      <c r="J8" s="5" t="inlineStr">
        <is>
          <t>Ya — workshop keramik</t>
        </is>
      </c>
    </row>
    <row r="9" ht="48" customHeight="1">
      <c r="A9" s="4" t="inlineStr">
        <is>
          <t>Meracik Parfum</t>
        </is>
      </c>
      <c r="B9" s="5" t="inlineStr">
        <is>
          <t>Parfum yang kamu racik 'berdasarkan kesanmu tentang dia', beri nama sendiri (misal nama panggilannya + '03.</t>
        </is>
      </c>
      <c r="C9" s="6" t="n">
        <v>4</v>
      </c>
      <c r="D9" s="6" t="n">
        <v>5</v>
      </c>
      <c r="E9" s="6" t="n">
        <v>4</v>
      </c>
      <c r="F9" s="6" t="n">
        <v>5</v>
      </c>
      <c r="G9" s="6" t="n">
        <v>4</v>
      </c>
      <c r="H9" s="6">
        <f>SUM(C9:G9)</f>
        <v/>
      </c>
      <c r="I9" s="7">
        <f>'Meracik Parfum'!I16</f>
        <v/>
      </c>
      <c r="J9" s="5" t="inlineStr">
        <is>
          <t>Ya — workshop parfum</t>
        </is>
      </c>
    </row>
    <row r="10" ht="48" customHeight="1">
      <c r="A10" s="4" t="inlineStr">
        <is>
          <t>Candi &amp; Senja</t>
        </is>
      </c>
      <c r="B10" s="5" t="inlineStr">
        <is>
          <t>Mini album berisi foto instax sepanjang hari + surat tulisan tangan, dirangkai &amp; diserahkan di akhir hari.</t>
        </is>
      </c>
      <c r="C10" s="6" t="n">
        <v>4</v>
      </c>
      <c r="D10" s="6" t="n">
        <v>4</v>
      </c>
      <c r="E10" s="6" t="n">
        <v>4</v>
      </c>
      <c r="F10" s="6" t="n">
        <v>5</v>
      </c>
      <c r="G10" s="6" t="n">
        <v>4</v>
      </c>
      <c r="H10" s="6">
        <f>SUM(C10:G10)</f>
        <v/>
      </c>
      <c r="I10" s="7">
        <f>'Candi &amp; Senja'!I16</f>
        <v/>
      </c>
      <c r="J10" s="5" t="inlineStr">
        <is>
          <t>Tidak (siapkan instax)</t>
        </is>
      </c>
    </row>
    <row r="12">
      <c r="A12" s="8" t="inlineStr">
        <is>
          <t>Catatan</t>
        </is>
      </c>
    </row>
    <row r="13" ht="28" customHeight="1">
      <c r="A13" s="9" t="inlineStr">
        <is>
          <t>• Skor 1–5 per kriteria adalah penilaian subjektif planner (bukan data Google Maps). Skor total dihitung otomatis.</t>
        </is>
      </c>
    </row>
    <row r="14" ht="28" customHeight="1">
      <c r="A14" s="9" t="inlineStr">
        <is>
          <t>• Rekomendasi utama: Plan 1 (hadiah paling tahan lama &amp; semua preferensi terpenuhi). Cadangan: Plan 5 (paling praktis) atau Plan 2 (paling tenang).</t>
        </is>
      </c>
    </row>
    <row r="15" ht="28" customHeight="1">
      <c r="A15" s="9" t="inlineStr">
        <is>
          <t>• Status Info di tiap sheet: 'Terverifikasi' = dicek dari sumber web resmi/terbaru (Sep 2026); 'Perlu cek' = dari pengetahuan umum — buka link Google Maps &amp; cek jam buka H-1.</t>
        </is>
      </c>
    </row>
    <row r="16" ht="28" customHeight="1">
      <c r="A16" s="9" t="inlineStr">
        <is>
          <t>• Biaya adalah ESTIMASI per orang (termasuk porsi transport). Edit kolom 'Est. Biaya' di tiap sheet — total &amp; ringkasan ikut berubah.</t>
        </is>
      </c>
    </row>
    <row r="17" ht="28" customHeight="1">
      <c r="A17" s="9" t="inlineStr">
        <is>
          <t>• Cuaca: awal Oktober = peralihan ke musim hujan. Bawa payung lipat; untuk plan outdoor (4 &amp; 6) siapkan Plan B indoor.</t>
        </is>
      </c>
    </row>
    <row r="18" ht="28" customHeight="1">
      <c r="A18" s="9" t="inlineStr">
        <is>
          <t>• Matahari terbenam di Jogja ±17.30 WIB — jadwal sudah disusun agar selesai sebelum 18.00.</t>
        </is>
      </c>
    </row>
  </sheetData>
  <mergeCells count="6">
    <mergeCell ref="A14:J14"/>
    <mergeCell ref="A17:J17"/>
    <mergeCell ref="A18:J18"/>
    <mergeCell ref="A15:J15"/>
    <mergeCell ref="A16:J16"/>
    <mergeCell ref="A13:J13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1 — Membuat Perhiasan Perak di Kotagede</t>
        </is>
      </c>
    </row>
    <row r="2" ht="34" customHeight="1">
      <c r="A2" s="10" t="inlineStr">
        <is>
          <t>Konsep</t>
        </is>
      </c>
      <c r="B2" s="11" t="n"/>
      <c r="C2" s="12" t="inlineStr">
        <is>
          <t>Pagi roti &amp; latte di Tirtodipuran, jalan kaki menyusuri lorong heritage Kotagede, lalu workshop perak 3 jam bersama pengrajin. Tutup dengan basque cheesecake.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Liontin/gelang perak yang KAMU buat untuknya (atau saling membuatkan), dengan grafir inisial atau tanggal '03.10.26'. Hindari bentuk cincin kalau hubungan kalian murni pertemanan — cincin mudah dibaca sebagai sinyal romantis.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Dia suka hal yang dibuat dengan tangan &amp; punya cerita. Hadiah paling tahan lama dari semua plan.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0.4270833333333333</v>
      </c>
      <c r="D7" s="16">
        <f>ROUND((C7-B7)*1440,0)</f>
        <v/>
      </c>
      <c r="E7" s="16" t="inlineStr">
        <is>
          <t>Sarapan: croissant, quiche/roti savory + caffe latte</t>
        </is>
      </c>
      <c r="F7" s="16" t="inlineStr">
        <is>
          <t>Mediterranea Store &amp; Bakery</t>
        </is>
      </c>
      <c r="G7" s="16" t="inlineStr">
        <is>
          <t>Jl. Tirtodipuran No.24, Mantrijeron</t>
        </is>
      </c>
      <c r="H7" s="4" t="inlineStr">
        <is>
          <t>Buka Maps</t>
        </is>
      </c>
      <c r="I7" s="18" t="n">
        <v>100000</v>
      </c>
      <c r="J7" s="16" t="inlineStr">
        <is>
          <t>Titik awal</t>
        </is>
      </c>
      <c r="K7" s="16" t="inlineStr">
        <is>
          <t>Bakery artisan dengan roti savory; area Tirtodipuran relatif tenang di pagi hari.</t>
        </is>
      </c>
      <c r="L7" s="16" t="inlineStr">
        <is>
          <t>Buka 08.00. Datang 09.00 masih sepi.</t>
        </is>
      </c>
      <c r="M7" s="16" t="inlineStr">
        <is>
          <t>Terverifikasi (IG resmi)</t>
        </is>
      </c>
    </row>
    <row r="8" ht="58" customHeight="1">
      <c r="A8" s="16" t="n">
        <v>2</v>
      </c>
      <c r="B8" s="17" t="n">
        <v>0.4270833333333333</v>
      </c>
      <c r="C8" s="17" t="n">
        <v>0.4409722222222222</v>
      </c>
      <c r="D8" s="16">
        <f>ROUND((C8-B8)*1440,0)</f>
        <v/>
      </c>
      <c r="E8" s="16" t="inlineStr">
        <is>
          <t>Perjalanan ke Kotagede</t>
        </is>
      </c>
      <c r="F8" s="16" t="inlineStr">
        <is>
          <t>—</t>
        </is>
      </c>
      <c r="G8" s="16" t="inlineStr">
        <is>
          <t>Kotagede</t>
        </is>
      </c>
      <c r="H8" s="4" t="inlineStr">
        <is>
          <t>Buka Maps</t>
        </is>
      </c>
      <c r="I8" s="18" t="n">
        <v>15000</v>
      </c>
      <c r="J8" s="16" t="inlineStr">
        <is>
          <t>Mobil/ojol ±6 km, ±20 mnt</t>
        </is>
      </c>
      <c r="K8" s="16" t="inlineStr"/>
      <c r="L8" s="16" t="inlineStr">
        <is>
          <t>Biaya = estimasi ojol/bensin per orang.</t>
        </is>
      </c>
      <c r="M8" s="16" t="inlineStr">
        <is>
          <t>Estimasi</t>
        </is>
      </c>
    </row>
    <row r="9" ht="58" customHeight="1">
      <c r="A9" s="16" t="n">
        <v>3</v>
      </c>
      <c r="B9" s="17" t="n">
        <v>0.4409722222222222</v>
      </c>
      <c r="C9" s="17" t="n">
        <v>0.4895833333333333</v>
      </c>
      <c r="D9" s="16">
        <f>ROUND((C9-B9)*1440,0)</f>
        <v/>
      </c>
      <c r="E9" s="16" t="inlineStr">
        <is>
          <t>Jalan kaki heritage: Masjid Gede Mataram &amp; lorong rumah kalang</t>
        </is>
      </c>
      <c r="F9" s="16" t="inlineStr">
        <is>
          <t>Masjid Gede Mataram Kotagede</t>
        </is>
      </c>
      <c r="G9" s="16" t="inlineStr">
        <is>
          <t>Jagalan, Banguntapan</t>
        </is>
      </c>
      <c r="H9" s="4" t="inlineStr">
        <is>
          <t>Buka Maps</t>
        </is>
      </c>
      <c r="I9" s="18" t="n">
        <v>0</v>
      </c>
      <c r="J9" s="16" t="inlineStr">
        <is>
          <t>Jalan kaki</t>
        </is>
      </c>
      <c r="K9" s="16" t="inlineStr">
        <is>
          <t>Tenang, teduh, banyak cerita sejarah — cocok untuk ngobrol panjang.</t>
        </is>
      </c>
      <c r="L9" s="16" t="inlineStr">
        <is>
          <t>Pakai pakaian sopan (area masjid &amp; makam).</t>
        </is>
      </c>
      <c r="M9" s="16" t="inlineStr">
        <is>
          <t>Perlu cek</t>
        </is>
      </c>
    </row>
    <row r="10" ht="58" customHeight="1">
      <c r="A10" s="16" t="n">
        <v>4</v>
      </c>
      <c r="B10" s="17" t="n">
        <v>0.4895833333333333</v>
      </c>
      <c r="C10" s="17" t="n">
        <v>0.5173611111111112</v>
      </c>
      <c r="D10" s="16">
        <f>ROUND((C10-B10)*1440,0)</f>
        <v/>
      </c>
      <c r="E10" s="16" t="inlineStr">
        <is>
          <t>Makan siang ringan</t>
        </is>
      </c>
      <c r="F10" s="16" t="inlineStr">
        <is>
          <t>Sate Karang Kotagede</t>
        </is>
      </c>
      <c r="G10" s="16" t="inlineStr">
        <is>
          <t>Kotagede</t>
        </is>
      </c>
      <c r="H10" s="4" t="inlineStr">
        <is>
          <t>Buka Maps</t>
        </is>
      </c>
      <c r="I10" s="18" t="n">
        <v>45000</v>
      </c>
      <c r="J10" s="16" t="inlineStr">
        <is>
          <t>Jalan kaki/motor ±5 mnt</t>
        </is>
      </c>
      <c r="K10" s="16" t="inlineStr">
        <is>
          <t>Dekat lokasi workshop, tidak buang waktu.</t>
        </is>
      </c>
      <c r="L10" s="16" t="inlineStr">
        <is>
          <t>Makan secukupnya — workshop butuh fokus 3 jam.</t>
        </is>
      </c>
      <c r="M10" s="16" t="inlineStr">
        <is>
          <t>Perlu cek</t>
        </is>
      </c>
    </row>
    <row r="11" ht="58" customHeight="1">
      <c r="A11" s="19" t="n">
        <v>5</v>
      </c>
      <c r="B11" s="20" t="n">
        <v>0.5208333333333334</v>
      </c>
      <c r="C11" s="20" t="n">
        <v>0.6458333333333334</v>
      </c>
      <c r="D11" s="19">
        <f>ROUND((C11-B11)*1440,0)</f>
        <v/>
      </c>
      <c r="E11" s="21" t="inlineStr">
        <is>
          <t>WORKSHOP PERAK sesi siang (desain → grafir → solder → poles)</t>
        </is>
      </c>
      <c r="F11" s="19" t="inlineStr">
        <is>
          <t>Salim Silver</t>
        </is>
      </c>
      <c r="G11" s="19" t="inlineStr">
        <is>
          <t>Kotagede</t>
        </is>
      </c>
      <c r="H11" s="22" t="inlineStr">
        <is>
          <t>Buka Maps</t>
        </is>
      </c>
      <c r="I11" s="23" t="n">
        <v>400000</v>
      </c>
      <c r="J11" s="19" t="inlineStr">
        <is>
          <t>Jalan kaki/motor</t>
        </is>
      </c>
      <c r="K11" s="19" t="inlineStr">
        <is>
          <t>Hands-on dipandu pengrajin; hasilnya dibawa pulang hari itu.</t>
        </is>
      </c>
      <c r="L11" s="19" t="inlineStr">
        <is>
          <t>WAJIB booking minimal H-3. Sesi siang 12.30–15.30 (Sen–Sab). Biaya = estimasi, konfirmasi via web/WA.</t>
        </is>
      </c>
      <c r="M11" s="19" t="inlineStr">
        <is>
          <t>Terverifikasi (salimsilver.com)</t>
        </is>
      </c>
    </row>
    <row r="12" ht="58" customHeight="1">
      <c r="A12" s="16" t="n">
        <v>6</v>
      </c>
      <c r="B12" s="17" t="n">
        <v>0.6458333333333334</v>
      </c>
      <c r="C12" s="17" t="n">
        <v>0.6666666666666666</v>
      </c>
      <c r="D12" s="16">
        <f>ROUND((C12-B12)*1440,0)</f>
        <v/>
      </c>
      <c r="E12" s="16" t="inlineStr">
        <is>
          <t>Perjalanan ke Demangan</t>
        </is>
      </c>
      <c r="F12" s="16" t="inlineStr">
        <is>
          <t>—</t>
        </is>
      </c>
      <c r="G12" s="16" t="inlineStr">
        <is>
          <t>Gondokusuman</t>
        </is>
      </c>
      <c r="H12" s="4" t="inlineStr">
        <is>
          <t>Buka Maps</t>
        </is>
      </c>
      <c r="I12" s="18" t="n">
        <v>15000</v>
      </c>
      <c r="J12" s="16" t="inlineStr">
        <is>
          <t>Mobil/ojol ±7 km, ±25 mnt</t>
        </is>
      </c>
      <c r="K12" s="16" t="inlineStr"/>
      <c r="L12" s="16" t="inlineStr"/>
      <c r="M12" s="16" t="inlineStr">
        <is>
          <t>Estimasi</t>
        </is>
      </c>
    </row>
    <row r="13" ht="58" customHeight="1">
      <c r="A13" s="19" t="n">
        <v>7</v>
      </c>
      <c r="B13" s="20" t="n">
        <v>0.6666666666666666</v>
      </c>
      <c r="C13" s="20" t="n">
        <v>0.7291666666666666</v>
      </c>
      <c r="D13" s="19">
        <f>ROUND((C13-B13)*1440,0)</f>
        <v/>
      </c>
      <c r="E13" s="19" t="inlineStr">
        <is>
          <t>Basque burnt cheesecake + iced/hot latte. Serahkan hadiah di sini.</t>
        </is>
      </c>
      <c r="F13" s="19" t="inlineStr">
        <is>
          <t>Cosan Coffee Demangan</t>
        </is>
      </c>
      <c r="G13" s="19" t="inlineStr">
        <is>
          <t>Demangan</t>
        </is>
      </c>
      <c r="H13" s="22" t="inlineStr">
        <is>
          <t>Buka Maps</t>
        </is>
      </c>
      <c r="I13" s="23" t="n">
        <v>75000</v>
      </c>
      <c r="J13" s="19" t="inlineStr">
        <is>
          <t>—</t>
        </is>
      </c>
      <c r="K13" s="19" t="inlineStr">
        <is>
          <t>Dikenal karena cheesecake-nya; momen santai untuk menyerahkan hadiah.</t>
        </is>
      </c>
      <c r="L13" s="19" t="inlineStr">
        <is>
          <t>Sore Sabtu bisa ramai; pilih meja pojok. Cek jam buka di Maps.</t>
        </is>
      </c>
      <c r="M13" s="19" t="inlineStr">
        <is>
          <t>Sebagian terverifikasi (IG)</t>
        </is>
      </c>
    </row>
    <row r="14" ht="58" customHeight="1">
      <c r="A14" s="16" t="n">
        <v>8</v>
      </c>
      <c r="B14" s="17" t="n">
        <v>0.7291666666666666</v>
      </c>
      <c r="C14" s="17" t="n">
        <v>0.75</v>
      </c>
      <c r="D14" s="16">
        <f>ROUND((C14-B14)*1440,0)</f>
        <v/>
      </c>
      <c r="E14" s="16" t="inlineStr">
        <is>
          <t>Penutup &amp; antar pulang</t>
        </is>
      </c>
      <c r="F14" s="16" t="inlineStr">
        <is>
          <t>—</t>
        </is>
      </c>
      <c r="G14" s="16" t="inlineStr"/>
      <c r="H14" s="16" t="n"/>
      <c r="I14" s="18" t="n">
        <v>15000</v>
      </c>
      <c r="J14" s="16" t="inlineStr">
        <is>
          <t>Ojol/mobil</t>
        </is>
      </c>
      <c r="K14" s="16" t="inlineStr"/>
      <c r="L14" s="16" t="inlineStr"/>
      <c r="M14" s="16" t="inlineStr">
        <is>
          <t>Estimasi</t>
        </is>
      </c>
    </row>
    <row r="15">
      <c r="A15" s="24" t="n"/>
      <c r="B15" s="24" t="n"/>
      <c r="C15" s="24" t="n"/>
      <c r="D15" s="24">
        <f>SUM(D7:D14)</f>
        <v/>
      </c>
      <c r="E15" s="24" t="inlineStr">
        <is>
          <t>TOTAL</t>
        </is>
      </c>
      <c r="F15" s="24" t="n"/>
      <c r="G15" s="24" t="n"/>
      <c r="H15" s="24" t="n"/>
      <c r="I15" s="25">
        <f>SUM(I7:I14)</f>
        <v/>
      </c>
      <c r="J15" s="24" t="inlineStr">
        <is>
          <t>per orang (estimasi)</t>
        </is>
      </c>
      <c r="K15" s="24" t="n"/>
      <c r="L15" s="24" t="n"/>
      <c r="M15" s="24" t="n"/>
    </row>
    <row r="16">
      <c r="A16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2 — Membaca Buku &amp; Udara Sejuk Utara</t>
        </is>
      </c>
    </row>
    <row r="2" ht="34" customHeight="1">
      <c r="A2" s="10" t="inlineStr">
        <is>
          <t>Konsep</t>
        </is>
      </c>
      <c r="B2" s="11" t="n"/>
      <c r="C2" s="12" t="inlineStr">
        <is>
          <t>Roti sourdough gurih di Jakal, museum paling tenang di Jogja (Ullen Sentalu), makan siang view Merapi, lalu sore panjang membaca di toko-buku-perpustakaan Buku Akik.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Tukar buku: masing-masing memilihkan satu buku untuk yang lain di Buku Akik, lalu tulis pesan tangan di halaman pertama + selipkan pembatas buku. Murah, sangat personal, dan dia akan menemukannya lagi setiap kali membuka buku itu.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Paling 'tenang' dari semua plan. Titik lemah: tidak ada cheesecake yang terjamin di rute ini.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0.40625</v>
      </c>
      <c r="D7" s="16">
        <f>ROUND((C7-B7)*1440,0)</f>
        <v/>
      </c>
      <c r="E7" s="16" t="inlineStr">
        <is>
          <t>Beli roti soft sourdough savory (makan di tempat / bekal)</t>
        </is>
      </c>
      <c r="F7" s="16" t="inlineStr">
        <is>
          <t>Paraisa Bakehouse</t>
        </is>
      </c>
      <c r="G7" s="16" t="inlineStr">
        <is>
          <t>Jl. Kaliurang km 6,7 (masuk gang)</t>
        </is>
      </c>
      <c r="H7" s="4" t="inlineStr">
        <is>
          <t>Buka Maps</t>
        </is>
      </c>
      <c r="I7" s="18" t="n">
        <v>50000</v>
      </c>
      <c r="J7" s="16" t="inlineStr">
        <is>
          <t>Titik awal</t>
        </is>
      </c>
      <c r="K7" s="16" t="inlineStr">
        <is>
          <t>Roti savory ragi alami; suasana rumah nenek yang tenang.</t>
        </is>
      </c>
      <c r="L7" s="16" t="inlineStr">
        <is>
          <t>Buka 09.00, TUTUP SELASA (Sabtu aman).</t>
        </is>
      </c>
      <c r="M7" s="16" t="inlineStr">
        <is>
          <t>Terverifikasi (Threads/IG resmi)</t>
        </is>
      </c>
    </row>
    <row r="8" ht="58" customHeight="1">
      <c r="A8" s="16" t="n">
        <v>2</v>
      </c>
      <c r="B8" s="17" t="n">
        <v>0.40625</v>
      </c>
      <c r="C8" s="17" t="n">
        <v>0.4375</v>
      </c>
      <c r="D8" s="16">
        <f>ROUND((C8-B8)*1440,0)</f>
        <v/>
      </c>
      <c r="E8" s="16" t="inlineStr">
        <is>
          <t>Perjalanan naik ke Kaliurang</t>
        </is>
      </c>
      <c r="F8" s="16" t="inlineStr">
        <is>
          <t>—</t>
        </is>
      </c>
      <c r="G8" s="16" t="inlineStr">
        <is>
          <t>Pakem, Sleman</t>
        </is>
      </c>
      <c r="H8" s="4" t="inlineStr">
        <is>
          <t>Buka Maps</t>
        </is>
      </c>
      <c r="I8" s="18" t="n">
        <v>25000</v>
      </c>
      <c r="J8" s="16" t="inlineStr">
        <is>
          <t>Mobil ±18 km, ±45 mnt</t>
        </is>
      </c>
      <c r="K8" s="16" t="inlineStr"/>
      <c r="L8" s="16" t="inlineStr">
        <is>
          <t>Bawa jaket tipis, Kaliurang sejuk.</t>
        </is>
      </c>
      <c r="M8" s="16" t="inlineStr">
        <is>
          <t>Estimasi</t>
        </is>
      </c>
    </row>
    <row r="9" ht="58" customHeight="1">
      <c r="A9" s="16" t="n">
        <v>3</v>
      </c>
      <c r="B9" s="17" t="n">
        <v>0.4375</v>
      </c>
      <c r="C9" s="17" t="n">
        <v>0.5</v>
      </c>
      <c r="D9" s="16">
        <f>ROUND((C9-B9)*1440,0)</f>
        <v/>
      </c>
      <c r="E9" s="16" t="inlineStr">
        <is>
          <t>Tur Museum Ullen Sentalu (Adiluhung Mataram)</t>
        </is>
      </c>
      <c r="F9" s="16" t="inlineStr">
        <is>
          <t>Museum Ullen Sentalu</t>
        </is>
      </c>
      <c r="G9" s="16" t="inlineStr">
        <is>
          <t>Jl. Boyong, Kaliurang</t>
        </is>
      </c>
      <c r="H9" s="4" t="inlineStr">
        <is>
          <t>Buka Maps</t>
        </is>
      </c>
      <c r="I9" s="18" t="n">
        <v>75000</v>
      </c>
      <c r="J9" s="16" t="inlineStr">
        <is>
          <t>—</t>
        </is>
      </c>
      <c r="K9" s="16" t="inlineStr">
        <is>
          <t>Hening, berkabut, penuh kisah surat-surat putri keraton — nyambung dengan tema 'pesan tulisan tangan'.</t>
        </is>
      </c>
      <c r="L9" s="16" t="inlineStr">
        <is>
          <t>Buka Sel–Min 08.30–16.00. Dilarang foto di dalam. Tiket Rp50–100rb.</t>
        </is>
      </c>
      <c r="M9" s="16" t="inlineStr">
        <is>
          <t>Terverifikasi (Kompas, IG resmi)</t>
        </is>
      </c>
    </row>
    <row r="10" ht="58" customHeight="1">
      <c r="A10" s="16" t="n">
        <v>4</v>
      </c>
      <c r="B10" s="17" t="n">
        <v>0.5</v>
      </c>
      <c r="C10" s="17" t="n">
        <v>0.5625</v>
      </c>
      <c r="D10" s="16">
        <f>ROUND((C10-B10)*1440,0)</f>
        <v/>
      </c>
      <c r="E10" s="16" t="inlineStr">
        <is>
          <t>Makan siang + latte dengan view Merapi</t>
        </is>
      </c>
      <c r="F10" s="16" t="inlineStr">
        <is>
          <t>Wisanggeni Coffee</t>
        </is>
      </c>
      <c r="G10" s="16" t="inlineStr">
        <is>
          <t>Palemsari, Kaliurang</t>
        </is>
      </c>
      <c r="H10" s="4" t="inlineStr">
        <is>
          <t>Buka Maps</t>
        </is>
      </c>
      <c r="I10" s="18" t="n">
        <v>90000</v>
      </c>
      <c r="J10" s="16" t="inlineStr">
        <is>
          <t>Mobil ±10 mnt</t>
        </is>
      </c>
      <c r="K10" s="16" t="inlineStr">
        <is>
          <t>Outdoor sejuk, pemandangan Merapi, tidak sepadat kafe kota.</t>
        </is>
      </c>
      <c r="L10" s="16" t="inlineStr">
        <is>
          <t>Merapi paling jelas sebelum jam 11; siang sering tertutup kabut.</t>
        </is>
      </c>
      <c r="M10" s="16" t="inlineStr">
        <is>
          <t>Sebagian terverifikasi (Liputan6)</t>
        </is>
      </c>
    </row>
    <row r="11" ht="58" customHeight="1">
      <c r="A11" s="16" t="n">
        <v>5</v>
      </c>
      <c r="B11" s="17" t="n">
        <v>0.5625</v>
      </c>
      <c r="C11" s="17" t="n">
        <v>0.5902777777777778</v>
      </c>
      <c r="D11" s="16">
        <f>ROUND((C11-B11)*1440,0)</f>
        <v/>
      </c>
      <c r="E11" s="16" t="inlineStr">
        <is>
          <t>Turun ke Jakal km 12</t>
        </is>
      </c>
      <c r="F11" s="16" t="inlineStr">
        <is>
          <t>—</t>
        </is>
      </c>
      <c r="G11" s="16" t="inlineStr"/>
      <c r="H11" s="4" t="inlineStr">
        <is>
          <t>Buka Maps</t>
        </is>
      </c>
      <c r="I11" s="18" t="n">
        <v>20000</v>
      </c>
      <c r="J11" s="16" t="inlineStr">
        <is>
          <t>Mobil ±13 km, ±40 mnt</t>
        </is>
      </c>
      <c r="K11" s="16" t="inlineStr"/>
      <c r="L11" s="16" t="inlineStr"/>
      <c r="M11" s="16" t="inlineStr">
        <is>
          <t>Estimasi</t>
        </is>
      </c>
    </row>
    <row r="12" ht="58" customHeight="1">
      <c r="A12" s="19" t="n">
        <v>6</v>
      </c>
      <c r="B12" s="20" t="n">
        <v>0.5902777777777778</v>
      </c>
      <c r="C12" s="20" t="n">
        <v>0.7291666666666666</v>
      </c>
      <c r="D12" s="19">
        <f>ROUND((C12-B12)*1440,0)</f>
        <v/>
      </c>
      <c r="E12" s="19" t="inlineStr">
        <is>
          <t>Membaca, kopi, ritual tukar buku + tulis pesan</t>
        </is>
      </c>
      <c r="F12" s="19" t="inlineStr">
        <is>
          <t>Buku Akik</t>
        </is>
      </c>
      <c r="G12" s="19" t="inlineStr">
        <is>
          <t>Jl. Kaliurang km 12, Gg. Besi Raja No.60D</t>
        </is>
      </c>
      <c r="H12" s="22" t="inlineStr">
        <is>
          <t>Buka Maps</t>
        </is>
      </c>
      <c r="I12" s="23" t="n">
        <v>150000</v>
      </c>
      <c r="J12" s="19" t="inlineStr">
        <is>
          <t>—</t>
        </is>
      </c>
      <c r="K12" s="19" t="inlineStr">
        <is>
          <t>Toko buku + perpustakaan + kopi; suasananya 'waktu terasa melambat'.</t>
        </is>
      </c>
      <c r="L12" s="19" t="inlineStr">
        <is>
          <t>Jam buka 10.00–18.30/19.00. Biaya = buku ±Rp100rb + minuman.</t>
        </is>
      </c>
      <c r="M12" s="19" t="inlineStr">
        <is>
          <t>Terverifikasi (IG)</t>
        </is>
      </c>
    </row>
    <row r="13" ht="58" customHeight="1">
      <c r="A13" s="16" t="n">
        <v>7</v>
      </c>
      <c r="B13" s="17" t="n">
        <v>0.7291666666666666</v>
      </c>
      <c r="C13" s="17" t="n">
        <v>0.75</v>
      </c>
      <c r="D13" s="16">
        <f>ROUND((C13-B13)*1440,0)</f>
        <v/>
      </c>
      <c r="E13" s="16" t="inlineStr">
        <is>
          <t>Pulang</t>
        </is>
      </c>
      <c r="F13" s="16" t="inlineStr">
        <is>
          <t>—</t>
        </is>
      </c>
      <c r="G13" s="16" t="inlineStr"/>
      <c r="H13" s="16" t="n"/>
      <c r="I13" s="18" t="n">
        <v>20000</v>
      </c>
      <c r="J13" s="16" t="inlineStr">
        <is>
          <t>Mobil</t>
        </is>
      </c>
      <c r="K13" s="16" t="inlineStr"/>
      <c r="L13" s="16" t="inlineStr"/>
      <c r="M13" s="16" t="inlineStr">
        <is>
          <t>Estimasi</t>
        </is>
      </c>
    </row>
    <row r="14">
      <c r="A14" s="24" t="n"/>
      <c r="B14" s="24" t="n"/>
      <c r="C14" s="24" t="n"/>
      <c r="D14" s="24">
        <f>SUM(D7:D13)</f>
        <v/>
      </c>
      <c r="E14" s="24" t="inlineStr">
        <is>
          <t>TOTAL</t>
        </is>
      </c>
      <c r="F14" s="24" t="n"/>
      <c r="G14" s="24" t="n"/>
      <c r="H14" s="24" t="n"/>
      <c r="I14" s="25">
        <f>SUM(I7:I13)</f>
        <v/>
      </c>
      <c r="J14" s="24" t="inlineStr">
        <is>
          <t>per orang (estimasi)</t>
        </is>
      </c>
      <c r="K14" s="24" t="n"/>
      <c r="L14" s="24" t="n"/>
      <c r="M14" s="24" t="n"/>
    </row>
    <row r="15">
      <c r="A15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3 — Membatik Bersama di Kawasan Keraton</t>
        </is>
      </c>
    </row>
    <row r="2" ht="34" customHeight="1">
      <c r="A2" s="10" t="inlineStr">
        <is>
          <t>Konsep</t>
        </is>
      </c>
      <c r="B2" s="11" t="n"/>
      <c r="C2" s="12" t="inlineStr">
        <is>
          <t>Sarapan roti artisan di Prawirotaman, Taman Sari pagi, makan siang di Tirtodipuran, lalu kelas batik tulis 2–3 jam. Tutup dengan cheesecake di Mangkubumi.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Kain/saputangan batik tulis motif yang kamu rancang untuknya (misal inisial dia atau motif bunga favoritnya). Karena malam &amp; pewarnaan butuh waktu, sering diambil/dikirim belakangan — itu justru jadi 'hadiah kedua'.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Kuat di sisi budaya &amp; aktivitas berdua. Titik lemah: Taman Sari ramai di hari Sabtu.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0.4166666666666667</v>
      </c>
      <c r="D7" s="16">
        <f>ROUND((C7-B7)*1440,0)</f>
        <v/>
      </c>
      <c r="E7" s="16" t="inlineStr">
        <is>
          <t>Sarapan roti artisan savory + latte</t>
        </is>
      </c>
      <c r="F7" s="16" t="inlineStr">
        <is>
          <t>ViaVia Jogja (Artisan Bakery)</t>
        </is>
      </c>
      <c r="G7" s="16" t="inlineStr">
        <is>
          <t>Jl. Prawirotaman, Mergangsan</t>
        </is>
      </c>
      <c r="H7" s="4" t="inlineStr">
        <is>
          <t>Buka Maps</t>
        </is>
      </c>
      <c r="I7" s="18" t="n">
        <v>90000</v>
      </c>
      <c r="J7" s="16" t="inlineStr">
        <is>
          <t>Titik awal</t>
        </is>
      </c>
      <c r="K7" s="16" t="inlineStr">
        <is>
          <t>Punya artisan bakery sendiri; kafe santai.</t>
        </is>
      </c>
      <c r="L7" s="16" t="inlineStr">
        <is>
          <t>Cek jam buka di Maps.</t>
        </is>
      </c>
      <c r="M7" s="16" t="inlineStr">
        <is>
          <t>Sebagian terverifikasi (viaviajogja.com)</t>
        </is>
      </c>
    </row>
    <row r="8" ht="58" customHeight="1">
      <c r="A8" s="16" t="n">
        <v>2</v>
      </c>
      <c r="B8" s="17" t="n">
        <v>0.4166666666666667</v>
      </c>
      <c r="C8" s="17" t="n">
        <v>0.4270833333333333</v>
      </c>
      <c r="D8" s="16">
        <f>ROUND((C8-B8)*1440,0)</f>
        <v/>
      </c>
      <c r="E8" s="16" t="inlineStr">
        <is>
          <t>Perjalanan ke Taman Sari</t>
        </is>
      </c>
      <c r="F8" s="16" t="inlineStr">
        <is>
          <t>—</t>
        </is>
      </c>
      <c r="G8" s="16" t="inlineStr"/>
      <c r="H8" s="16" t="n"/>
      <c r="I8" s="18" t="n">
        <v>10000</v>
      </c>
      <c r="J8" s="16" t="inlineStr">
        <is>
          <t>Ojol ±3 km</t>
        </is>
      </c>
      <c r="K8" s="16" t="inlineStr"/>
      <c r="L8" s="16" t="inlineStr"/>
      <c r="M8" s="16" t="inlineStr">
        <is>
          <t>Estimasi</t>
        </is>
      </c>
    </row>
    <row r="9" ht="58" customHeight="1">
      <c r="A9" s="16" t="n">
        <v>3</v>
      </c>
      <c r="B9" s="17" t="n">
        <v>0.4270833333333333</v>
      </c>
      <c r="C9" s="17" t="n">
        <v>0.4791666666666667</v>
      </c>
      <c r="D9" s="16">
        <f>ROUND((C9-B9)*1440,0)</f>
        <v/>
      </c>
      <c r="E9" s="16" t="inlineStr">
        <is>
          <t>Taman Sari &amp; Sumur Gumuling</t>
        </is>
      </c>
      <c r="F9" s="16" t="inlineStr">
        <is>
          <t>Taman Sari</t>
        </is>
      </c>
      <c r="G9" s="16" t="inlineStr">
        <is>
          <t>Patehan, Kraton</t>
        </is>
      </c>
      <c r="H9" s="4" t="inlineStr">
        <is>
          <t>Buka Maps</t>
        </is>
      </c>
      <c r="I9" s="18" t="n">
        <v>20000</v>
      </c>
      <c r="J9" s="16" t="inlineStr">
        <is>
          <t>—</t>
        </is>
      </c>
      <c r="K9" s="16" t="inlineStr">
        <is>
          <t>Ikonik &amp; fotogenik.</t>
        </is>
      </c>
      <c r="L9" s="16" t="inlineStr">
        <is>
          <t>Sabtu ramai setelah jam 10 — kalau dia benar-benar anti-ramai, tukar dengan Museum Sonobudoyo.</t>
        </is>
      </c>
      <c r="M9" s="16" t="inlineStr">
        <is>
          <t>Perlu cek</t>
        </is>
      </c>
    </row>
    <row r="10" ht="58" customHeight="1">
      <c r="A10" s="16" t="n">
        <v>4</v>
      </c>
      <c r="B10" s="17" t="n">
        <v>0.4791666666666667</v>
      </c>
      <c r="C10" s="17" t="n">
        <v>0.53125</v>
      </c>
      <c r="D10" s="16">
        <f>ROUND((C10-B10)*1440,0)</f>
        <v/>
      </c>
      <c r="E10" s="16" t="inlineStr">
        <is>
          <t>Makan siang masakan Jawa rumahan</t>
        </is>
      </c>
      <c r="F10" s="16" t="inlineStr">
        <is>
          <t>Warung Bu Ageng</t>
        </is>
      </c>
      <c r="G10" s="16" t="inlineStr">
        <is>
          <t>Jl. Tirtodipuran</t>
        </is>
      </c>
      <c r="H10" s="4" t="inlineStr">
        <is>
          <t>Buka Maps</t>
        </is>
      </c>
      <c r="I10" s="18" t="n">
        <v>70000</v>
      </c>
      <c r="J10" s="16" t="inlineStr">
        <is>
          <t>Ojol ±2 km</t>
        </is>
      </c>
      <c r="K10" s="16" t="inlineStr">
        <is>
          <t>Tenang, ala rumah Jawa.</t>
        </is>
      </c>
      <c r="L10" s="16" t="inlineStr"/>
      <c r="M10" s="16" t="inlineStr">
        <is>
          <t>Perlu cek</t>
        </is>
      </c>
    </row>
    <row r="11" ht="58" customHeight="1">
      <c r="A11" s="19" t="n">
        <v>5</v>
      </c>
      <c r="B11" s="20" t="n">
        <v>0.5416666666666666</v>
      </c>
      <c r="C11" s="20" t="n">
        <v>0.6666666666666666</v>
      </c>
      <c r="D11" s="19">
        <f>ROUND((C11-B11)*1440,0)</f>
        <v/>
      </c>
      <c r="E11" s="21" t="inlineStr">
        <is>
          <t>KELAS BATIK TULIS (mencanting, mewarna)</t>
        </is>
      </c>
      <c r="F11" s="19" t="inlineStr">
        <is>
          <t>Batik Winotosastro</t>
        </is>
      </c>
      <c r="G11" s="19" t="inlineStr">
        <is>
          <t>Jl. Tirtodipuran</t>
        </is>
      </c>
      <c r="H11" s="22" t="inlineStr">
        <is>
          <t>Buka Maps</t>
        </is>
      </c>
      <c r="I11" s="23" t="n">
        <v>250000</v>
      </c>
      <c r="J11" s="19" t="inlineStr">
        <is>
          <t>Jalan kaki</t>
        </is>
      </c>
      <c r="K11" s="19" t="inlineStr">
        <is>
          <t>Studio batik lama di Tirtodipuran. Kisaran harga kelas di Jogja Rp75–300rb.</t>
        </is>
      </c>
      <c r="L11" s="19" t="inlineStr">
        <is>
          <t>BOOKING DULU. Tanyakan apakah kain bisa dibawa pulang hari itu atau dikirim.</t>
        </is>
      </c>
      <c r="M11" s="19" t="inlineStr">
        <is>
          <t>Perlu cek (nama studio dari pengetahuan umum)</t>
        </is>
      </c>
    </row>
    <row r="12" ht="58" customHeight="1">
      <c r="A12" s="16" t="n">
        <v>6</v>
      </c>
      <c r="B12" s="17" t="n">
        <v>0.6666666666666666</v>
      </c>
      <c r="C12" s="17" t="n">
        <v>0.6840277777777778</v>
      </c>
      <c r="D12" s="16">
        <f>ROUND((C12-B12)*1440,0)</f>
        <v/>
      </c>
      <c r="E12" s="16" t="inlineStr">
        <is>
          <t>Perjalanan ke Jl. Mangkubumi</t>
        </is>
      </c>
      <c r="F12" s="16" t="inlineStr">
        <is>
          <t>—</t>
        </is>
      </c>
      <c r="G12" s="16" t="inlineStr"/>
      <c r="H12" s="16" t="n"/>
      <c r="I12" s="18" t="n">
        <v>15000</v>
      </c>
      <c r="J12" s="16" t="inlineStr">
        <is>
          <t>Ojol ±4 km</t>
        </is>
      </c>
      <c r="K12" s="16" t="inlineStr"/>
      <c r="L12" s="16" t="inlineStr"/>
      <c r="M12" s="16" t="inlineStr">
        <is>
          <t>Estimasi</t>
        </is>
      </c>
    </row>
    <row r="13" ht="58" customHeight="1">
      <c r="A13" s="16" t="n">
        <v>7</v>
      </c>
      <c r="B13" s="17" t="n">
        <v>0.6840277777777778</v>
      </c>
      <c r="C13" s="17" t="n">
        <v>0.7395833333333334</v>
      </c>
      <c r="D13" s="16">
        <f>ROUND((C13-B13)*1440,0)</f>
        <v/>
      </c>
      <c r="E13" s="16" t="inlineStr">
        <is>
          <t>Cheesecake + latte</t>
        </is>
      </c>
      <c r="F13" s="16" t="inlineStr">
        <is>
          <t>Roaster and Bear</t>
        </is>
      </c>
      <c r="G13" s="16" t="inlineStr">
        <is>
          <t>Jl. P. Mangkubumi No.52</t>
        </is>
      </c>
      <c r="H13" s="4" t="inlineStr">
        <is>
          <t>Buka Maps</t>
        </is>
      </c>
      <c r="I13" s="18" t="n">
        <v>90000</v>
      </c>
      <c r="J13" s="16" t="inlineStr">
        <is>
          <t>—</t>
        </is>
      </c>
      <c r="K13" s="16" t="inlineStr">
        <is>
          <t>Cheesecake termasuk menu yang paling direkomendasikan.</t>
        </is>
      </c>
      <c r="L13" s="16" t="inlineStr">
        <is>
          <t>Sore Sabtu ramai — minta meja area dalam/pojok.</t>
        </is>
      </c>
      <c r="M13" s="16" t="inlineStr">
        <is>
          <t>Terverifikasi (Tripadvisor, Dispar DIY)</t>
        </is>
      </c>
    </row>
    <row r="14" ht="58" customHeight="1">
      <c r="A14" s="16" t="n">
        <v>8</v>
      </c>
      <c r="B14" s="17" t="n">
        <v>0.7395833333333334</v>
      </c>
      <c r="C14" s="17" t="n">
        <v>0.75</v>
      </c>
      <c r="D14" s="16">
        <f>ROUND((C14-B14)*1440,0)</f>
        <v/>
      </c>
      <c r="E14" s="16" t="inlineStr">
        <is>
          <t>Penutup (dekat Tugu)</t>
        </is>
      </c>
      <c r="F14" s="16" t="inlineStr">
        <is>
          <t>—</t>
        </is>
      </c>
      <c r="G14" s="16" t="inlineStr"/>
      <c r="H14" s="16" t="n"/>
      <c r="I14" s="18" t="n">
        <v>0</v>
      </c>
      <c r="J14" s="16" t="inlineStr"/>
      <c r="K14" s="16" t="inlineStr"/>
      <c r="L14" s="16" t="inlineStr"/>
      <c r="M14" s="16" t="inlineStr">
        <is>
          <t>—</t>
        </is>
      </c>
    </row>
    <row r="15">
      <c r="A15" s="24" t="n"/>
      <c r="B15" s="24" t="n"/>
      <c r="C15" s="24" t="n"/>
      <c r="D15" s="24">
        <f>SUM(D7:D14)</f>
        <v/>
      </c>
      <c r="E15" s="24" t="inlineStr">
        <is>
          <t>TOTAL</t>
        </is>
      </c>
      <c r="F15" s="24" t="n"/>
      <c r="G15" s="24" t="n"/>
      <c r="H15" s="24" t="n"/>
      <c r="I15" s="25">
        <f>SUM(I7:I14)</f>
        <v/>
      </c>
      <c r="J15" s="24" t="inlineStr">
        <is>
          <t>per orang (estimasi)</t>
        </is>
      </c>
      <c r="K15" s="24" t="n"/>
      <c r="L15" s="24" t="n"/>
      <c r="M15" s="24" t="n"/>
    </row>
    <row r="16">
      <c r="A16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3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4 — Membuat Keramik &amp; Hutan Pinus</t>
        </is>
      </c>
    </row>
    <row r="2" ht="34" customHeight="1">
      <c r="A2" s="10" t="inlineStr">
        <is>
          <t>Konsep</t>
        </is>
      </c>
      <c r="B2" s="11" t="n"/>
      <c r="C2" s="12" t="inlineStr">
        <is>
          <t>Sarapan bakery di kota, workshop keramik 'mindful' di Kasongan, makan siang, lalu sore tenang di hutan pinus Mangunan.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Mug/piring kecil yang kamu buat &amp; lukis untuknya (tulis tanggal di bawahnya). Keramik yang dibentuk harus dibakar dulu → biasanya dikirim beberapa minggu kemudian. Kejutan yang datang belakangan = pengingat hari itu.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Paling 'mindful' &amp; santai. Titik lemah: tidak ada cheesecake di rute, dan perjalanan ke Mangunan cukup jauh.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0.4166666666666667</v>
      </c>
      <c r="D7" s="16">
        <f>ROUND((C7-B7)*1440,0)</f>
        <v/>
      </c>
      <c r="E7" s="16" t="inlineStr">
        <is>
          <t>Sarapan roti savory + latte</t>
        </is>
      </c>
      <c r="F7" s="16" t="inlineStr">
        <is>
          <t>Mediterranea Store &amp; Bakery</t>
        </is>
      </c>
      <c r="G7" s="16" t="inlineStr">
        <is>
          <t>Jl. Tirtodipuran No.24</t>
        </is>
      </c>
      <c r="H7" s="4" t="inlineStr">
        <is>
          <t>Buka Maps</t>
        </is>
      </c>
      <c r="I7" s="18" t="n">
        <v>100000</v>
      </c>
      <c r="J7" s="16" t="inlineStr">
        <is>
          <t>Titik awal</t>
        </is>
      </c>
      <c r="K7" s="16" t="inlineStr">
        <is>
          <t>Roti savory kuat.</t>
        </is>
      </c>
      <c r="L7" s="16" t="inlineStr"/>
      <c r="M7" s="16" t="inlineStr">
        <is>
          <t>Terverifikasi (IG resmi)</t>
        </is>
      </c>
    </row>
    <row r="8" ht="58" customHeight="1">
      <c r="A8" s="16" t="n">
        <v>2</v>
      </c>
      <c r="B8" s="17" t="n">
        <v>0.4166666666666667</v>
      </c>
      <c r="C8" s="17" t="n">
        <v>0.4375</v>
      </c>
      <c r="D8" s="16">
        <f>ROUND((C8-B8)*1440,0)</f>
        <v/>
      </c>
      <c r="E8" s="16" t="inlineStr">
        <is>
          <t>Perjalanan ke Kasongan</t>
        </is>
      </c>
      <c r="F8" s="16" t="inlineStr">
        <is>
          <t>—</t>
        </is>
      </c>
      <c r="G8" s="16" t="inlineStr">
        <is>
          <t>Bangunjiwo, Kasihan</t>
        </is>
      </c>
      <c r="H8" s="4" t="inlineStr">
        <is>
          <t>Buka Maps</t>
        </is>
      </c>
      <c r="I8" s="18" t="n">
        <v>15000</v>
      </c>
      <c r="J8" s="16" t="inlineStr">
        <is>
          <t>Mobil ±8 km, ±25 mnt</t>
        </is>
      </c>
      <c r="K8" s="16" t="inlineStr"/>
      <c r="L8" s="16" t="inlineStr"/>
      <c r="M8" s="16" t="inlineStr">
        <is>
          <t>Estimasi</t>
        </is>
      </c>
    </row>
    <row r="9" ht="58" customHeight="1">
      <c r="A9" s="19" t="n">
        <v>3</v>
      </c>
      <c r="B9" s="20" t="n">
        <v>0.4375</v>
      </c>
      <c r="C9" s="20" t="n">
        <v>0.5416666666666666</v>
      </c>
      <c r="D9" s="19">
        <f>ROUND((C9-B9)*1440,0)</f>
        <v/>
      </c>
      <c r="E9" s="21" t="inlineStr">
        <is>
          <t>WORKSHOP KERAMIK (handbuilding / terracotta painting)</t>
        </is>
      </c>
      <c r="F9" s="19" t="inlineStr">
        <is>
          <t>Baravia Pottery &amp; Workshop</t>
        </is>
      </c>
      <c r="G9" s="19" t="inlineStr">
        <is>
          <t>Kasongan, Bantul</t>
        </is>
      </c>
      <c r="H9" s="22" t="inlineStr">
        <is>
          <t>Buka Maps</t>
        </is>
      </c>
      <c r="I9" s="23" t="n">
        <v>250000</v>
      </c>
      <c r="J9" s="19" t="inlineStr">
        <is>
          <t>—</t>
        </is>
      </c>
      <c r="K9" s="19" t="inlineStr">
        <is>
          <t>Konsep 'mindful experience' — tenang, pelan, cocok untuk ngobrol sambil berkarya.</t>
        </is>
      </c>
      <c r="L9" s="19" t="inlineStr">
        <is>
          <t>Reservasi via WA (lihat IG @baraviapottery). Harga = estimasi.</t>
        </is>
      </c>
      <c r="M9" s="19" t="inlineStr">
        <is>
          <t>Terverifikasi (baravia.id)</t>
        </is>
      </c>
    </row>
    <row r="10" ht="58" customHeight="1">
      <c r="A10" s="16" t="n">
        <v>4</v>
      </c>
      <c r="B10" s="17" t="n">
        <v>0.5416666666666666</v>
      </c>
      <c r="C10" s="17" t="n">
        <v>0.59375</v>
      </c>
      <c r="D10" s="16">
        <f>ROUND((C10-B10)*1440,0)</f>
        <v/>
      </c>
      <c r="E10" s="16" t="inlineStr">
        <is>
          <t>Makan siang</t>
        </is>
      </c>
      <c r="F10" s="16" t="inlineStr">
        <is>
          <t>Sate Klathak Pak Pong</t>
        </is>
      </c>
      <c r="G10" s="16" t="inlineStr">
        <is>
          <t>Jl. Imogiri Timur, Bantul</t>
        </is>
      </c>
      <c r="H10" s="4" t="inlineStr">
        <is>
          <t>Buka Maps</t>
        </is>
      </c>
      <c r="I10" s="18" t="n">
        <v>60000</v>
      </c>
      <c r="J10" s="16" t="inlineStr">
        <is>
          <t>Mobil ±10 km, ±25 mnt</t>
        </is>
      </c>
      <c r="K10" s="16" t="inlineStr">
        <is>
          <t>Kuliner khas Bantul, searah ke Mangunan.</t>
        </is>
      </c>
      <c r="L10" s="16" t="inlineStr">
        <is>
          <t>Kalau dia tidak suka kambing, ganti makan siang di sekitar Kasongan.</t>
        </is>
      </c>
      <c r="M10" s="16" t="inlineStr">
        <is>
          <t>Perlu cek</t>
        </is>
      </c>
    </row>
    <row r="11" ht="58" customHeight="1">
      <c r="A11" s="16" t="n">
        <v>5</v>
      </c>
      <c r="B11" s="17" t="n">
        <v>0.59375</v>
      </c>
      <c r="C11" s="17" t="n">
        <v>0.625</v>
      </c>
      <c r="D11" s="16">
        <f>ROUND((C11-B11)*1440,0)</f>
        <v/>
      </c>
      <c r="E11" s="16" t="inlineStr">
        <is>
          <t>Perjalanan ke Mangunan</t>
        </is>
      </c>
      <c r="F11" s="16" t="inlineStr">
        <is>
          <t>—</t>
        </is>
      </c>
      <c r="G11" s="16" t="inlineStr">
        <is>
          <t>Dlingo, Bantul</t>
        </is>
      </c>
      <c r="H11" s="4" t="inlineStr">
        <is>
          <t>Buka Maps</t>
        </is>
      </c>
      <c r="I11" s="18" t="n">
        <v>20000</v>
      </c>
      <c r="J11" s="16" t="inlineStr">
        <is>
          <t>Mobil ±15 km, ±40 mnt (jalan menanjak)</t>
        </is>
      </c>
      <c r="K11" s="16" t="inlineStr"/>
      <c r="L11" s="16" t="inlineStr"/>
      <c r="M11" s="16" t="inlineStr">
        <is>
          <t>Estimasi</t>
        </is>
      </c>
    </row>
    <row r="12" ht="58" customHeight="1">
      <c r="A12" s="19" t="n">
        <v>6</v>
      </c>
      <c r="B12" s="20" t="n">
        <v>0.625</v>
      </c>
      <c r="C12" s="20" t="n">
        <v>0.6979166666666666</v>
      </c>
      <c r="D12" s="19">
        <f>ROUND((C12-B12)*1440,0)</f>
        <v/>
      </c>
      <c r="E12" s="19" t="inlineStr">
        <is>
          <t>Jalan santai &amp; duduk di hutan pinus. Serahkan kartu 'hadiah menyusul'.</t>
        </is>
      </c>
      <c r="F12" s="19" t="inlineStr">
        <is>
          <t>Hutan Pinus Mangunan</t>
        </is>
      </c>
      <c r="G12" s="19" t="inlineStr">
        <is>
          <t>Dlingo, Bantul</t>
        </is>
      </c>
      <c r="H12" s="22" t="inlineStr">
        <is>
          <t>Buka Maps</t>
        </is>
      </c>
      <c r="I12" s="23" t="n">
        <v>15000</v>
      </c>
      <c r="J12" s="19" t="inlineStr">
        <is>
          <t>—</t>
        </is>
      </c>
      <c r="K12" s="19" t="inlineStr">
        <is>
          <t>Sejuk, sunyi, cahaya sore bagus.</t>
        </is>
      </c>
      <c r="L12" s="19" t="inlineStr">
        <is>
          <t>Tiket &amp; parkir kecil. Waspada hujan di awal Oktober.</t>
        </is>
      </c>
      <c r="M12" s="19" t="inlineStr">
        <is>
          <t>Perlu cek</t>
        </is>
      </c>
    </row>
    <row r="13" ht="58" customHeight="1">
      <c r="A13" s="16" t="n">
        <v>7</v>
      </c>
      <c r="B13" s="17" t="n">
        <v>0.6979166666666666</v>
      </c>
      <c r="C13" s="17" t="n">
        <v>0.75</v>
      </c>
      <c r="D13" s="16">
        <f>ROUND((C13-B13)*1440,0)</f>
        <v/>
      </c>
      <c r="E13" s="16" t="inlineStr">
        <is>
          <t>Kembali ke kota</t>
        </is>
      </c>
      <c r="F13" s="16" t="inlineStr">
        <is>
          <t>—</t>
        </is>
      </c>
      <c r="G13" s="16" t="inlineStr"/>
      <c r="H13" s="16" t="n"/>
      <c r="I13" s="18" t="n">
        <v>25000</v>
      </c>
      <c r="J13" s="16" t="inlineStr">
        <is>
          <t>Mobil ±25 km, ±60 mnt</t>
        </is>
      </c>
      <c r="K13" s="16" t="inlineStr"/>
      <c r="L13" s="16" t="inlineStr">
        <is>
          <t>Waktu pulang ketat — berangkat tepat 16.45.</t>
        </is>
      </c>
      <c r="M13" s="16" t="inlineStr">
        <is>
          <t>Estimasi</t>
        </is>
      </c>
    </row>
    <row r="14">
      <c r="A14" s="24" t="n"/>
      <c r="B14" s="24" t="n"/>
      <c r="C14" s="24" t="n"/>
      <c r="D14" s="24">
        <f>SUM(D7:D13)</f>
        <v/>
      </c>
      <c r="E14" s="24" t="inlineStr">
        <is>
          <t>TOTAL</t>
        </is>
      </c>
      <c r="F14" s="24" t="n"/>
      <c r="G14" s="24" t="n"/>
      <c r="H14" s="24" t="n"/>
      <c r="I14" s="25">
        <f>SUM(I7:I13)</f>
        <v/>
      </c>
      <c r="J14" s="24" t="inlineStr">
        <is>
          <t>per orang (estimasi)</t>
        </is>
      </c>
      <c r="K14" s="24" t="n"/>
      <c r="L14" s="24" t="n"/>
      <c r="M14" s="24" t="n"/>
    </row>
    <row r="15">
      <c r="A15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5 — Meracik Parfum Signature &amp; Galeri Seni</t>
        </is>
      </c>
    </row>
    <row r="2" ht="34" customHeight="1">
      <c r="A2" s="10" t="inlineStr">
        <is>
          <t>Konsep</t>
        </is>
      </c>
      <c r="B2" s="11" t="n"/>
      <c r="C2" s="12" t="inlineStr">
        <is>
          <t>Pagi di Mangkubumi saat masih sepi, workshop meracik parfum, makan siang, Museum Affandi, lalu cheesecake di Demangan.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Parfum yang kamu racik 'berdasarkan kesanmu tentang dia', beri nama sendiri (misal nama panggilannya + '03.10'). Aroma adalah pemicu memori terkuat — setiap kali dipakai, dia teringat hari ini.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Paling praktis (semua di kota, transport pendek). Titik lemah: studio parfum belum terverifikasi jam buka Sabtu.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0.4270833333333333</v>
      </c>
      <c r="D7" s="16">
        <f>ROUND((C7-B7)*1440,0)</f>
        <v/>
      </c>
      <c r="E7" s="16" t="inlineStr">
        <is>
          <t>Sarapan roti/pastry savory + latte</t>
        </is>
      </c>
      <c r="F7" s="16" t="inlineStr">
        <is>
          <t>Roaster and Bear</t>
        </is>
      </c>
      <c r="G7" s="16" t="inlineStr">
        <is>
          <t>Jl. P. Mangkubumi No.52</t>
        </is>
      </c>
      <c r="H7" s="4" t="inlineStr">
        <is>
          <t>Buka Maps</t>
        </is>
      </c>
      <c r="I7" s="18" t="n">
        <v>100000</v>
      </c>
      <c r="J7" s="16" t="inlineStr">
        <is>
          <t>Titik awal</t>
        </is>
      </c>
      <c r="K7" s="16" t="inlineStr">
        <is>
          <t>Pagi hari jauh lebih tenang dibanding sore.</t>
        </is>
      </c>
      <c r="L7" s="16" t="inlineStr">
        <is>
          <t>Buka 07.00.</t>
        </is>
      </c>
      <c r="M7" s="16" t="inlineStr">
        <is>
          <t>Terverifikasi (Tripadvisor)</t>
        </is>
      </c>
    </row>
    <row r="8" ht="58" customHeight="1">
      <c r="A8" s="16" t="n">
        <v>2</v>
      </c>
      <c r="B8" s="17" t="n">
        <v>0.4270833333333333</v>
      </c>
      <c r="C8" s="17" t="n">
        <v>0.4375</v>
      </c>
      <c r="D8" s="16">
        <f>ROUND((C8-B8)*1440,0)</f>
        <v/>
      </c>
      <c r="E8" s="16" t="inlineStr">
        <is>
          <t>Perjalanan ke studio parfum (area Tugu)</t>
        </is>
      </c>
      <c r="F8" s="16" t="inlineStr">
        <is>
          <t>—</t>
        </is>
      </c>
      <c r="G8" s="16" t="inlineStr"/>
      <c r="H8" s="16" t="n"/>
      <c r="I8" s="18" t="n">
        <v>10000</v>
      </c>
      <c r="J8" s="16" t="inlineStr">
        <is>
          <t>Ojol / jalan kaki</t>
        </is>
      </c>
      <c r="K8" s="16" t="inlineStr"/>
      <c r="L8" s="16" t="inlineStr"/>
      <c r="M8" s="16" t="inlineStr">
        <is>
          <t>Estimasi</t>
        </is>
      </c>
    </row>
    <row r="9" ht="58" customHeight="1">
      <c r="A9" s="19" t="n">
        <v>3</v>
      </c>
      <c r="B9" s="20" t="n">
        <v>0.4375</v>
      </c>
      <c r="C9" s="20" t="n">
        <v>0.5208333333333334</v>
      </c>
      <c r="D9" s="19">
        <f>ROUND((C9-B9)*1440,0)</f>
        <v/>
      </c>
      <c r="E9" s="21" t="inlineStr">
        <is>
          <t>WORKSHOP MERACIK PARFUM</t>
        </is>
      </c>
      <c r="F9" s="19" t="inlineStr">
        <is>
          <t>AICare The Label (dekat Tugu) — alternatif: Mauleen Studio / House Blend</t>
        </is>
      </c>
      <c r="G9" s="19" t="inlineStr">
        <is>
          <t>Dekat Tugu Yogyakarta</t>
        </is>
      </c>
      <c r="H9" s="22" t="inlineStr">
        <is>
          <t>Buka Maps</t>
        </is>
      </c>
      <c r="I9" s="23" t="n">
        <v>300000</v>
      </c>
      <c r="J9" s="19" t="inlineStr">
        <is>
          <t>—</t>
        </is>
      </c>
      <c r="K9" s="19" t="inlineStr">
        <is>
          <t>Hasil bisa langsung dibawa pulang.</t>
        </is>
      </c>
      <c r="L9" s="19" t="inlineStr">
        <is>
          <t>BOOKING &amp; tanyakan slot Sabtu. Harga = estimasi.</t>
        </is>
      </c>
      <c r="M9" s="19" t="inlineStr">
        <is>
          <t>Perlu cek (hanya info web umum)</t>
        </is>
      </c>
    </row>
    <row r="10" ht="58" customHeight="1">
      <c r="A10" s="16" t="n">
        <v>4</v>
      </c>
      <c r="B10" s="17" t="n">
        <v>0.5208333333333334</v>
      </c>
      <c r="C10" s="17" t="n">
        <v>0.5729166666666666</v>
      </c>
      <c r="D10" s="16">
        <f>ROUND((C10-B10)*1440,0)</f>
        <v/>
      </c>
      <c r="E10" s="16" t="inlineStr">
        <is>
          <t>Makan siang</t>
        </is>
      </c>
      <c r="F10" s="16" t="inlineStr">
        <is>
          <t>Bebas di area Jetis/Kotabaru</t>
        </is>
      </c>
      <c r="G10" s="16" t="inlineStr">
        <is>
          <t>Kotabaru</t>
        </is>
      </c>
      <c r="H10" s="4" t="inlineStr">
        <is>
          <t>Buka Maps</t>
        </is>
      </c>
      <c r="I10" s="18" t="n">
        <v>70000</v>
      </c>
      <c r="J10" s="16" t="inlineStr">
        <is>
          <t>Ojol ±2 km</t>
        </is>
      </c>
      <c r="K10" s="16" t="inlineStr"/>
      <c r="L10" s="16" t="inlineStr"/>
      <c r="M10" s="16" t="inlineStr">
        <is>
          <t>Estimasi</t>
        </is>
      </c>
    </row>
    <row r="11" ht="58" customHeight="1">
      <c r="A11" s="16" t="n">
        <v>5</v>
      </c>
      <c r="B11" s="17" t="n">
        <v>0.5729166666666666</v>
      </c>
      <c r="C11" s="17" t="n">
        <v>0.5833333333333334</v>
      </c>
      <c r="D11" s="16">
        <f>ROUND((C11-B11)*1440,0)</f>
        <v/>
      </c>
      <c r="E11" s="16" t="inlineStr">
        <is>
          <t>Perjalanan ke Museum Affandi</t>
        </is>
      </c>
      <c r="F11" s="16" t="inlineStr">
        <is>
          <t>—</t>
        </is>
      </c>
      <c r="G11" s="16" t="inlineStr"/>
      <c r="H11" s="16" t="n"/>
      <c r="I11" s="18" t="n">
        <v>10000</v>
      </c>
      <c r="J11" s="16" t="inlineStr">
        <is>
          <t>Ojol ±4 km</t>
        </is>
      </c>
      <c r="K11" s="16" t="inlineStr"/>
      <c r="L11" s="16" t="inlineStr"/>
      <c r="M11" s="16" t="inlineStr">
        <is>
          <t>Estimasi</t>
        </is>
      </c>
    </row>
    <row r="12" ht="58" customHeight="1">
      <c r="A12" s="16" t="n">
        <v>6</v>
      </c>
      <c r="B12" s="17" t="n">
        <v>0.5833333333333334</v>
      </c>
      <c r="C12" s="17" t="n">
        <v>0.6458333333333334</v>
      </c>
      <c r="D12" s="16">
        <f>ROUND((C12-B12)*1440,0)</f>
        <v/>
      </c>
      <c r="E12" s="16" t="inlineStr">
        <is>
          <t>Museum Affandi</t>
        </is>
      </c>
      <c r="F12" s="16" t="inlineStr">
        <is>
          <t>Museum Affandi</t>
        </is>
      </c>
      <c r="G12" s="16" t="inlineStr">
        <is>
          <t>Jl. Laksda Adisucipto 167</t>
        </is>
      </c>
      <c r="H12" s="4" t="inlineStr">
        <is>
          <t>Buka Maps</t>
        </is>
      </c>
      <c r="I12" s="18" t="n">
        <v>50000</v>
      </c>
      <c r="J12" s="16" t="inlineStr">
        <is>
          <t>—</t>
        </is>
      </c>
      <c r="K12" s="16" t="inlineStr">
        <is>
          <t>Galeri tenang di tepi Kali Gajah Wong.</t>
        </is>
      </c>
      <c r="L12" s="16" t="inlineStr">
        <is>
          <t>Konfirmasi jam buka Sabtu di Maps.</t>
        </is>
      </c>
      <c r="M12" s="16" t="inlineStr">
        <is>
          <t>Perlu cek</t>
        </is>
      </c>
    </row>
    <row r="13" ht="58" customHeight="1">
      <c r="A13" s="16" t="n">
        <v>7</v>
      </c>
      <c r="B13" s="17" t="n">
        <v>0.6458333333333334</v>
      </c>
      <c r="C13" s="17" t="n">
        <v>0.65625</v>
      </c>
      <c r="D13" s="16">
        <f>ROUND((C13-B13)*1440,0)</f>
        <v/>
      </c>
      <c r="E13" s="16" t="inlineStr">
        <is>
          <t>Perjalanan ke Demangan</t>
        </is>
      </c>
      <c r="F13" s="16" t="inlineStr">
        <is>
          <t>—</t>
        </is>
      </c>
      <c r="G13" s="16" t="inlineStr"/>
      <c r="H13" s="16" t="n"/>
      <c r="I13" s="18" t="n">
        <v>10000</v>
      </c>
      <c r="J13" s="16" t="inlineStr">
        <is>
          <t>Ojol ±2 km</t>
        </is>
      </c>
      <c r="K13" s="16" t="inlineStr"/>
      <c r="L13" s="16" t="inlineStr"/>
      <c r="M13" s="16" t="inlineStr">
        <is>
          <t>Estimasi</t>
        </is>
      </c>
    </row>
    <row r="14" ht="58" customHeight="1">
      <c r="A14" s="19" t="n">
        <v>8</v>
      </c>
      <c r="B14" s="20" t="n">
        <v>0.65625</v>
      </c>
      <c r="C14" s="20" t="n">
        <v>0.7291666666666666</v>
      </c>
      <c r="D14" s="19">
        <f>ROUND((C14-B14)*1440,0)</f>
        <v/>
      </c>
      <c r="E14" s="19" t="inlineStr">
        <is>
          <t>Basque cheesecake + latte. Serahkan parfum.</t>
        </is>
      </c>
      <c r="F14" s="19" t="inlineStr">
        <is>
          <t>Cosan Coffee Demangan</t>
        </is>
      </c>
      <c r="G14" s="19" t="inlineStr">
        <is>
          <t>Demangan</t>
        </is>
      </c>
      <c r="H14" s="22" t="inlineStr">
        <is>
          <t>Buka Maps</t>
        </is>
      </c>
      <c r="I14" s="23" t="n">
        <v>75000</v>
      </c>
      <c r="J14" s="19" t="inlineStr">
        <is>
          <t>—</t>
        </is>
      </c>
      <c r="K14" s="19" t="inlineStr">
        <is>
          <t>Cheesecake-nya jadi incaran.</t>
        </is>
      </c>
      <c r="L14" s="19" t="inlineStr"/>
      <c r="M14" s="19" t="inlineStr">
        <is>
          <t>Sebagian terverifikasi (IG)</t>
        </is>
      </c>
    </row>
    <row r="15" ht="58" customHeight="1">
      <c r="A15" s="16" t="n">
        <v>9</v>
      </c>
      <c r="B15" s="17" t="n">
        <v>0.7291666666666666</v>
      </c>
      <c r="C15" s="17" t="n">
        <v>0.75</v>
      </c>
      <c r="D15" s="16">
        <f>ROUND((C15-B15)*1440,0)</f>
        <v/>
      </c>
      <c r="E15" s="16" t="inlineStr">
        <is>
          <t>Penutup</t>
        </is>
      </c>
      <c r="F15" s="16" t="inlineStr">
        <is>
          <t>—</t>
        </is>
      </c>
      <c r="G15" s="16" t="inlineStr"/>
      <c r="H15" s="16" t="n"/>
      <c r="I15" s="18" t="n">
        <v>15000</v>
      </c>
      <c r="J15" s="16" t="inlineStr"/>
      <c r="K15" s="16" t="inlineStr"/>
      <c r="L15" s="16" t="inlineStr"/>
      <c r="M15" s="16" t="inlineStr">
        <is>
          <t>Estimasi</t>
        </is>
      </c>
    </row>
    <row r="16">
      <c r="A16" s="24" t="n"/>
      <c r="B16" s="24" t="n"/>
      <c r="C16" s="24" t="n"/>
      <c r="D16" s="24">
        <f>SUM(D7:D15)</f>
        <v/>
      </c>
      <c r="E16" s="24" t="inlineStr">
        <is>
          <t>TOTAL</t>
        </is>
      </c>
      <c r="F16" s="24" t="n"/>
      <c r="G16" s="24" t="n"/>
      <c r="H16" s="24" t="n"/>
      <c r="I16" s="25">
        <f>SUM(I7:I15)</f>
        <v/>
      </c>
      <c r="J16" s="24" t="inlineStr">
        <is>
          <t>per orang (estimasi)</t>
        </is>
      </c>
      <c r="K16" s="24" t="n"/>
      <c r="L16" s="24" t="n"/>
      <c r="M16" s="24" t="n"/>
    </row>
    <row r="17">
      <c r="A17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2" r:id="rId4"/>
    <hyperlink xmlns:r="http://schemas.openxmlformats.org/officeDocument/2006/relationships" ref="H14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42" customWidth="1" min="5" max="5"/>
    <col width="28" customWidth="1" min="6" max="6"/>
    <col width="28" customWidth="1" min="7" max="7"/>
    <col width="14" customWidth="1" min="8" max="8"/>
    <col width="16" customWidth="1" min="9" max="9"/>
    <col width="26" customWidth="1" min="10" max="10"/>
    <col width="40" customWidth="1" min="11" max="11"/>
    <col width="44" customWidth="1" min="12" max="12"/>
    <col width="22" customWidth="1" min="13" max="13"/>
  </cols>
  <sheetData>
    <row r="1">
      <c r="A1" s="1" t="inlineStr">
        <is>
          <t>Plan 6 — Candi yang Sepi &amp; Album Instax</t>
        </is>
      </c>
    </row>
    <row r="2" ht="34" customHeight="1">
      <c r="A2" s="10" t="inlineStr">
        <is>
          <t>Konsep</t>
        </is>
      </c>
      <c r="B2" s="11" t="n"/>
      <c r="C2" s="12" t="inlineStr">
        <is>
          <t>Brunch + cheesecake di Demangan, Candi Ijo di bukit, makan siang view Prambanan, Candi Plaosan yang jauh lebih sepi dari Prambanan, lalu merangkai album.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34" customHeight="1">
      <c r="A3" s="13" t="inlineStr">
        <is>
          <t>Hadiah</t>
        </is>
      </c>
      <c r="B3" s="14" t="n"/>
      <c r="C3" s="15" t="inlineStr">
        <is>
          <t>Mini album berisi foto instax sepanjang hari + surat tulisan tangan, dirangkai &amp; diserahkan di akhir hari. Butuh persiapan: kamera instax + ±20 lembar film + album kecil + surat yang sudah kamu tulis dari rumah.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34" customHeight="1">
      <c r="A4" s="10" t="inlineStr">
        <is>
          <t>Kenapa plan ini</t>
        </is>
      </c>
      <c r="B4" s="11" t="n"/>
      <c r="C4" s="12" t="inlineStr">
        <is>
          <t>Paling fotogenik &amp; tetap tenang. Titik lemah: panas &amp; banyak di jalan (±60 km total).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6" ht="32" customHeight="1">
      <c r="A6" s="3" t="inlineStr">
        <is>
          <t>No</t>
        </is>
      </c>
      <c r="B6" s="3" t="inlineStr">
        <is>
          <t>Mulai</t>
        </is>
      </c>
      <c r="C6" s="3" t="inlineStr">
        <is>
          <t>Selesai</t>
        </is>
      </c>
      <c r="D6" s="3" t="inlineStr">
        <is>
          <t>Durasi (menit)</t>
        </is>
      </c>
      <c r="E6" s="3" t="inlineStr">
        <is>
          <t>Aktivitas</t>
        </is>
      </c>
      <c r="F6" s="3" t="inlineStr">
        <is>
          <t>Tempat</t>
        </is>
      </c>
      <c r="G6" s="3" t="inlineStr">
        <is>
          <t>Alamat / Area</t>
        </is>
      </c>
      <c r="H6" s="3" t="inlineStr">
        <is>
          <t>Google Maps</t>
        </is>
      </c>
      <c r="I6" s="3" t="inlineStr">
        <is>
          <t>Est. Biaya / Orang (Rp)</t>
        </is>
      </c>
      <c r="J6" s="3" t="inlineStr">
        <is>
          <t>Transport dari titik sebelumnya</t>
        </is>
      </c>
      <c r="K6" s="3" t="inlineStr">
        <is>
          <t>Kenapa cocok untuk dia</t>
        </is>
      </c>
      <c r="L6" s="3" t="inlineStr">
        <is>
          <t>Tips / Catatan</t>
        </is>
      </c>
      <c r="M6" s="3" t="inlineStr">
        <is>
          <t>Status Info</t>
        </is>
      </c>
    </row>
    <row r="7" ht="58" customHeight="1">
      <c r="A7" s="16" t="n">
        <v>1</v>
      </c>
      <c r="B7" s="17" t="n">
        <v>0.375</v>
      </c>
      <c r="C7" s="17" t="n">
        <v>0.4270833333333333</v>
      </c>
      <c r="D7" s="16">
        <f>ROUND((C7-B7)*1440,0)</f>
        <v/>
      </c>
      <c r="E7" s="16" t="inlineStr">
        <is>
          <t>Brunch: roti + latte + cheesecake</t>
        </is>
      </c>
      <c r="F7" s="16" t="inlineStr">
        <is>
          <t>Cosan Coffee Demangan</t>
        </is>
      </c>
      <c r="G7" s="16" t="inlineStr">
        <is>
          <t>Demangan</t>
        </is>
      </c>
      <c r="H7" s="4" t="inlineStr">
        <is>
          <t>Buka Maps</t>
        </is>
      </c>
      <c r="I7" s="18" t="n">
        <v>90000</v>
      </c>
      <c r="J7" s="16" t="inlineStr">
        <is>
          <t>Titik awal</t>
        </is>
      </c>
      <c r="K7" s="16" t="inlineStr">
        <is>
          <t>Semua preferensinya kena di satu tempat.</t>
        </is>
      </c>
      <c r="L7" s="16" t="inlineStr">
        <is>
          <t>Pastikan buka jam 09.00 (cek Maps).</t>
        </is>
      </c>
      <c r="M7" s="16" t="inlineStr">
        <is>
          <t>Sebagian terverifikasi (IG)</t>
        </is>
      </c>
    </row>
    <row r="8" ht="58" customHeight="1">
      <c r="A8" s="16" t="n">
        <v>2</v>
      </c>
      <c r="B8" s="17" t="n">
        <v>0.4270833333333333</v>
      </c>
      <c r="C8" s="17" t="n">
        <v>0.4583333333333333</v>
      </c>
      <c r="D8" s="16">
        <f>ROUND((C8-B8)*1440,0)</f>
        <v/>
      </c>
      <c r="E8" s="16" t="inlineStr">
        <is>
          <t>Perjalanan ke Candi Ijo</t>
        </is>
      </c>
      <c r="F8" s="16" t="inlineStr">
        <is>
          <t>—</t>
        </is>
      </c>
      <c r="G8" s="16" t="inlineStr">
        <is>
          <t>Sambirejo, Prambanan</t>
        </is>
      </c>
      <c r="H8" s="4" t="inlineStr">
        <is>
          <t>Buka Maps</t>
        </is>
      </c>
      <c r="I8" s="18" t="n">
        <v>25000</v>
      </c>
      <c r="J8" s="16" t="inlineStr">
        <is>
          <t>Mobil ±20 km, ±45 mnt</t>
        </is>
      </c>
      <c r="K8" s="16" t="inlineStr"/>
      <c r="L8" s="16" t="inlineStr"/>
      <c r="M8" s="16" t="inlineStr">
        <is>
          <t>Estimasi</t>
        </is>
      </c>
    </row>
    <row r="9" ht="58" customHeight="1">
      <c r="A9" s="16" t="n">
        <v>3</v>
      </c>
      <c r="B9" s="17" t="n">
        <v>0.4583333333333333</v>
      </c>
      <c r="C9" s="17" t="n">
        <v>0.5</v>
      </c>
      <c r="D9" s="16">
        <f>ROUND((C9-B9)*1440,0)</f>
        <v/>
      </c>
      <c r="E9" s="16" t="inlineStr">
        <is>
          <t>Candi Ijo (candi tertinggi di Jogja)</t>
        </is>
      </c>
      <c r="F9" s="16" t="inlineStr">
        <is>
          <t>Candi Ijo</t>
        </is>
      </c>
      <c r="G9" s="16" t="inlineStr">
        <is>
          <t>Sambirejo, Prambanan</t>
        </is>
      </c>
      <c r="H9" s="4" t="inlineStr">
        <is>
          <t>Buka Maps</t>
        </is>
      </c>
      <c r="I9" s="18" t="n">
        <v>10000</v>
      </c>
      <c r="J9" s="16" t="inlineStr">
        <is>
          <t>—</t>
        </is>
      </c>
      <c r="K9" s="16" t="inlineStr">
        <is>
          <t>Sepi, angin sepoi, view lembah.</t>
        </is>
      </c>
      <c r="L9" s="16" t="inlineStr">
        <is>
          <t>Siang panas: topi &amp; air minum.</t>
        </is>
      </c>
      <c r="M9" s="16" t="inlineStr">
        <is>
          <t>Perlu cek</t>
        </is>
      </c>
    </row>
    <row r="10" ht="58" customHeight="1">
      <c r="A10" s="16" t="n">
        <v>4</v>
      </c>
      <c r="B10" s="17" t="n">
        <v>0.5104166666666666</v>
      </c>
      <c r="C10" s="17" t="n">
        <v>0.5729166666666666</v>
      </c>
      <c r="D10" s="16">
        <f>ROUND((C10-B10)*1440,0)</f>
        <v/>
      </c>
      <c r="E10" s="16" t="inlineStr">
        <is>
          <t>Makan siang view Candi Prambanan</t>
        </is>
      </c>
      <c r="F10" s="16" t="inlineStr">
        <is>
          <t>Abhayagiri Restaurant</t>
        </is>
      </c>
      <c r="G10" s="16" t="inlineStr">
        <is>
          <t>Sumberwatu, Prambanan</t>
        </is>
      </c>
      <c r="H10" s="4" t="inlineStr">
        <is>
          <t>Buka Maps</t>
        </is>
      </c>
      <c r="I10" s="18" t="n">
        <v>175000</v>
      </c>
      <c r="J10" s="16" t="inlineStr">
        <is>
          <t>Mobil ±10 mnt</t>
        </is>
      </c>
      <c r="K10" s="16" t="inlineStr">
        <is>
          <t>Tenang, elegan, pemandangan lepas.</t>
        </is>
      </c>
      <c r="L10" s="16" t="inlineStr">
        <is>
          <t>Harga menengah-atas.</t>
        </is>
      </c>
      <c r="M10" s="16" t="inlineStr">
        <is>
          <t>Perlu cek</t>
        </is>
      </c>
    </row>
    <row r="11" ht="58" customHeight="1">
      <c r="A11" s="16" t="n">
        <v>5</v>
      </c>
      <c r="B11" s="17" t="n">
        <v>0.5729166666666666</v>
      </c>
      <c r="C11" s="17" t="n">
        <v>0.59375</v>
      </c>
      <c r="D11" s="16">
        <f>ROUND((C11-B11)*1440,0)</f>
        <v/>
      </c>
      <c r="E11" s="16" t="inlineStr">
        <is>
          <t>Perjalanan ke Candi Plaosan</t>
        </is>
      </c>
      <c r="F11" s="16" t="inlineStr">
        <is>
          <t>—</t>
        </is>
      </c>
      <c r="G11" s="16" t="inlineStr"/>
      <c r="H11" s="16" t="n"/>
      <c r="I11" s="18" t="n">
        <v>20000</v>
      </c>
      <c r="J11" s="16" t="inlineStr">
        <is>
          <t>Mobil ±10 km</t>
        </is>
      </c>
      <c r="K11" s="16" t="inlineStr"/>
      <c r="L11" s="16" t="inlineStr"/>
      <c r="M11" s="16" t="inlineStr">
        <is>
          <t>Estimasi</t>
        </is>
      </c>
    </row>
    <row r="12" ht="58" customHeight="1">
      <c r="A12" s="16" t="n">
        <v>6</v>
      </c>
      <c r="B12" s="17" t="n">
        <v>0.59375</v>
      </c>
      <c r="C12" s="17" t="n">
        <v>0.65625</v>
      </c>
      <c r="D12" s="16">
        <f>ROUND((C12-B12)*1440,0)</f>
        <v/>
      </c>
      <c r="E12" s="16" t="inlineStr">
        <is>
          <t>Candi Plaosan (Lor &amp; Kidul) — sesi foto instax</t>
        </is>
      </c>
      <c r="F12" s="16" t="inlineStr">
        <is>
          <t>Candi Plaosan</t>
        </is>
      </c>
      <c r="G12" s="16" t="inlineStr">
        <is>
          <t>Bugisan, Prambanan, Klaten</t>
        </is>
      </c>
      <c r="H12" s="4" t="inlineStr">
        <is>
          <t>Buka Maps</t>
        </is>
      </c>
      <c r="I12" s="18" t="n">
        <v>10000</v>
      </c>
      <c r="J12" s="16" t="inlineStr">
        <is>
          <t>—</t>
        </is>
      </c>
      <c r="K12" s="16" t="inlineStr">
        <is>
          <t>Jauh lebih sepi dari Prambanan; cahaya sore cantik.</t>
        </is>
      </c>
      <c r="L12" s="16" t="inlineStr">
        <is>
          <t>Buka ±07.30/08.00–17.00. Tiket murah.</t>
        </is>
      </c>
      <c r="M12" s="16" t="inlineStr">
        <is>
          <t>Sebagian terverifikasi (sumber berbeda-beda)</t>
        </is>
      </c>
    </row>
    <row r="13" ht="58" customHeight="1">
      <c r="A13" s="16" t="n">
        <v>7</v>
      </c>
      <c r="B13" s="17" t="n">
        <v>0.65625</v>
      </c>
      <c r="C13" s="17" t="n">
        <v>0.6875</v>
      </c>
      <c r="D13" s="16">
        <f>ROUND((C13-B13)*1440,0)</f>
        <v/>
      </c>
      <c r="E13" s="16" t="inlineStr">
        <is>
          <t>Kembali ke kota</t>
        </is>
      </c>
      <c r="F13" s="16" t="inlineStr">
        <is>
          <t>—</t>
        </is>
      </c>
      <c r="G13" s="16" t="inlineStr"/>
      <c r="H13" s="16" t="n"/>
      <c r="I13" s="18" t="n">
        <v>25000</v>
      </c>
      <c r="J13" s="16" t="inlineStr">
        <is>
          <t>Mobil ±20 km</t>
        </is>
      </c>
      <c r="K13" s="16" t="inlineStr"/>
      <c r="L13" s="16" t="inlineStr"/>
      <c r="M13" s="16" t="inlineStr">
        <is>
          <t>Estimasi</t>
        </is>
      </c>
    </row>
    <row r="14" ht="58" customHeight="1">
      <c r="A14" s="19" t="n">
        <v>8</v>
      </c>
      <c r="B14" s="20" t="n">
        <v>0.6875</v>
      </c>
      <c r="C14" s="20" t="n">
        <v>0.7395833333333334</v>
      </c>
      <c r="D14" s="19">
        <f>ROUND((C14-B14)*1440,0)</f>
        <v/>
      </c>
      <c r="E14" s="19" t="inlineStr">
        <is>
          <t>Kopi sore + merangkai album &amp; serahkan surat</t>
        </is>
      </c>
      <c r="F14" s="19" t="inlineStr">
        <is>
          <t>Cosan Coffee Demangan (atau kafe tenang pilihanmu)</t>
        </is>
      </c>
      <c r="G14" s="19" t="inlineStr">
        <is>
          <t>Demangan</t>
        </is>
      </c>
      <c r="H14" s="22" t="inlineStr">
        <is>
          <t>Buka Maps</t>
        </is>
      </c>
      <c r="I14" s="23" t="n">
        <v>60000</v>
      </c>
      <c r="J14" s="19" t="inlineStr">
        <is>
          <t>—</t>
        </is>
      </c>
      <c r="K14" s="19" t="inlineStr">
        <is>
          <t>Menutup hari di tempat yang sama dengan pagi — 'lingkaran' yang manis.</t>
        </is>
      </c>
      <c r="L14" s="19" t="inlineStr"/>
      <c r="M14" s="19" t="inlineStr">
        <is>
          <t>Estimasi</t>
        </is>
      </c>
    </row>
    <row r="15" ht="58" customHeight="1">
      <c r="A15" s="16" t="n">
        <v>9</v>
      </c>
      <c r="B15" s="17" t="n">
        <v>0.7395833333333334</v>
      </c>
      <c r="C15" s="17" t="n">
        <v>0.75</v>
      </c>
      <c r="D15" s="16">
        <f>ROUND((C15-B15)*1440,0)</f>
        <v/>
      </c>
      <c r="E15" s="16" t="inlineStr">
        <is>
          <t>Penutup</t>
        </is>
      </c>
      <c r="F15" s="16" t="inlineStr">
        <is>
          <t>—</t>
        </is>
      </c>
      <c r="G15" s="16" t="inlineStr"/>
      <c r="H15" s="16" t="n"/>
      <c r="I15" s="18" t="n">
        <v>0</v>
      </c>
      <c r="J15" s="16" t="inlineStr"/>
      <c r="K15" s="16" t="inlineStr"/>
      <c r="L15" s="16" t="inlineStr"/>
      <c r="M15" s="16" t="inlineStr">
        <is>
          <t>—</t>
        </is>
      </c>
    </row>
    <row r="16">
      <c r="A16" s="24" t="n"/>
      <c r="B16" s="24" t="n"/>
      <c r="C16" s="24" t="n"/>
      <c r="D16" s="24">
        <f>SUM(D7:D15)</f>
        <v/>
      </c>
      <c r="E16" s="24" t="inlineStr">
        <is>
          <t>TOTAL</t>
        </is>
      </c>
      <c r="F16" s="24" t="n"/>
      <c r="G16" s="24" t="n"/>
      <c r="H16" s="24" t="n"/>
      <c r="I16" s="25">
        <f>SUM(I7:I15)</f>
        <v/>
      </c>
      <c r="J16" s="24" t="inlineStr">
        <is>
          <t>per orang (estimasi)</t>
        </is>
      </c>
      <c r="K16" s="24" t="n"/>
      <c r="L16" s="24" t="n"/>
      <c r="M16" s="24" t="n"/>
    </row>
    <row r="17">
      <c r="A17" s="26" t="inlineStr">
        <is>
          <t>Baris merah muda = momen workshop/hadiah. Angka biru = estimasi yang boleh kamu ubah. Link 'Buka Maps' membuka pencarian Google Maps untuk tempat tsb.</t>
        </is>
      </c>
    </row>
  </sheetData>
  <mergeCells count="6">
    <mergeCell ref="A4:B4"/>
    <mergeCell ref="A2:B2"/>
    <mergeCell ref="C4:M4"/>
    <mergeCell ref="C3:M3"/>
    <mergeCell ref="C2:M2"/>
    <mergeCell ref="A3:B3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2" r:id="rId5"/>
    <hyperlink xmlns:r="http://schemas.openxmlformats.org/officeDocument/2006/relationships" ref="H1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2026-09-27T00:03:25Z</dcterms:created>
  <dcterms:modified xsi:type="dcterms:W3CDTF">2026-09-27T00:03:25Z</dcterms:modified>
</cp:coreProperties>
</file>