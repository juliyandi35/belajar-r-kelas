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Meracik Parfum" sheetId="2" state="visible" r:id="rId2"/>
    <sheet name="Membaca Buku" sheetId="3" state="visible" r:id="rId3"/>
    <sheet name="Merangkai Bung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12">
    <font>
      <name val="Calibri"/>
      <family val="2"/>
      <color theme="1"/>
      <sz val="11"/>
      <scheme val="minor"/>
    </font>
    <font>
      <name val="Arial"/>
      <b val="1"/>
      <color rgb="004E342E"/>
      <sz val="14"/>
    </font>
    <font>
      <name val="Arial"/>
      <i val="1"/>
      <sz val="10"/>
    </font>
    <font>
      <name val="Arial"/>
      <b val="1"/>
      <color rgb="00FFFFFF"/>
    </font>
    <font>
      <name val="Arial"/>
      <b val="1"/>
      <color rgb="000563C1"/>
      <sz val="10"/>
      <u val="single"/>
    </font>
    <font>
      <name val="Arial"/>
      <color rgb="00000000"/>
      <sz val="10"/>
    </font>
    <font>
      <name val="Arial"/>
      <color rgb="000563C1"/>
      <sz val="10"/>
      <u val="single"/>
    </font>
    <font>
      <name val="Arial"/>
      <b val="1"/>
    </font>
    <font>
      <name val="Arial"/>
      <sz val="10"/>
    </font>
    <font>
      <name val="Arial"/>
      <b val="1"/>
      <sz val="10"/>
    </font>
    <font>
      <name val="Arial"/>
      <color rgb="000000FF"/>
      <sz val="10"/>
    </font>
    <font>
      <name val="Arial"/>
      <i val="1"/>
      <sz val="9"/>
    </font>
  </fonts>
  <fills count="9">
    <fill>
      <patternFill/>
    </fill>
    <fill>
      <patternFill patternType="gray125"/>
    </fill>
    <fill>
      <patternFill patternType="solid">
        <fgColor rgb="004E342E"/>
      </patternFill>
    </fill>
    <fill>
      <patternFill patternType="solid">
        <fgColor rgb="00F3E9DC"/>
      </patternFill>
    </fill>
    <fill>
      <patternFill patternType="solid">
        <fgColor rgb="00FCE4EC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EDE7F6"/>
      </patternFill>
    </fill>
  </fills>
  <borders count="2">
    <border>
      <left/>
      <right/>
      <top/>
      <bottom/>
      <diagonal/>
    </border>
    <border>
      <left style="thin">
        <color rgb="00BFA58A"/>
      </left>
      <right style="thin">
        <color rgb="00BFA58A"/>
      </right>
      <top style="thin">
        <color rgb="00BFA58A"/>
      </top>
      <bottom style="thin">
        <color rgb="00BFA58A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/>
    </xf>
    <xf numFmtId="3" fontId="5" fillId="3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/>
    </xf>
    <xf numFmtId="3" fontId="5" fillId="0" borderId="1" applyAlignment="1" pivotButton="0" quotePrefix="0" xfId="0">
      <alignment horizontal="center" vertical="top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3" borderId="0" pivotButton="0" quotePrefix="0" xfId="0"/>
    <xf numFmtId="0" fontId="0" fillId="3" borderId="0" pivotButton="0" quotePrefix="0" xfId="0"/>
    <xf numFmtId="0" fontId="8" fillId="3" borderId="0" applyAlignment="1" pivotButton="0" quotePrefix="0" xfId="0">
      <alignment vertical="top" wrapText="1"/>
    </xf>
    <xf numFmtId="0" fontId="9" fillId="4" borderId="0" pivotButton="0" quotePrefix="0" xfId="0"/>
    <xf numFmtId="0" fontId="0" fillId="4" borderId="0" pivotButton="0" quotePrefix="0" xfId="0"/>
    <xf numFmtId="0" fontId="8" fillId="4" borderId="0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164" fontId="8" fillId="5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3" fontId="10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164" fontId="8" fillId="6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3" fontId="10" fillId="6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164" fontId="8" fillId="4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3" fontId="10" fillId="4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164" fontId="8" fillId="7" borderId="1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3" fontId="10" fillId="7" borderId="1" applyAlignment="1" pivotButton="0" quotePrefix="0" xfId="0">
      <alignment vertical="top" wrapText="1"/>
    </xf>
    <xf numFmtId="0" fontId="9" fillId="8" borderId="1" pivotButton="0" quotePrefix="0" xfId="0"/>
    <xf numFmtId="3" fontId="9" fillId="8" borderId="1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eracik Parfum'!A1" TargetMode="External" Id="rId1" /><Relationship Type="http://schemas.openxmlformats.org/officeDocument/2006/relationships/hyperlink" Target="#'Membaca Buku'!A1" TargetMode="External" Id="rId2" /><Relationship Type="http://schemas.openxmlformats.org/officeDocument/2006/relationships/hyperlink" Target="#'Merangkai Bunga'!A1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oogle.com/maps/search/?api=1&amp;query=Perdipe+Coffee+Palagan+Yogyakarta" TargetMode="External" Id="rId1" /><Relationship Type="http://schemas.openxmlformats.org/officeDocument/2006/relationships/hyperlink" Target="https://www.google.com/maps/search/?api=1&amp;query=Desa+Palagan+Jl+Shinta+Sariharjo" TargetMode="External" Id="rId2" /><Relationship Type="http://schemas.openxmlformats.org/officeDocument/2006/relationships/hyperlink" Target="https://www.google.com/maps/search/?api=1&amp;query=Wangi+Lab+Jogja+parfum" TargetMode="External" Id="rId3" /><Relationship Type="http://schemas.openxmlformats.org/officeDocument/2006/relationships/hyperlink" Target="https://www.google.com/maps/search/?api=1&amp;query=Epic+Coffee+Palagan+Yogyakarta" TargetMode="External" Id="rId4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oogle.com/maps/search/?api=1&amp;query=Cinema+Bakery+Palagan+Yogyakarta" TargetMode="External" Id="rId1" /><Relationship Type="http://schemas.openxmlformats.org/officeDocument/2006/relationships/hyperlink" Target="https://www.google.com/maps/search/?api=1&amp;query=Ndalem+Klangenan+Sinduharjo" TargetMode="External" Id="rId2" /><Relationship Type="http://schemas.openxmlformats.org/officeDocument/2006/relationships/hyperlink" Target="https://www.google.com/maps/search/?api=1&amp;query=Buku+Akik+Ngaglik+Sleman" TargetMode="External" Id="rId3" /><Relationship Type="http://schemas.openxmlformats.org/officeDocument/2006/relationships/hyperlink" Target="https://www.google.com/maps/search/?api=1&amp;query=Ayodhya+Resto+Palagan+Yogyakarta" TargetMode="External" Id="rId4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google.com/maps/search/?api=1&amp;query=Cinema+Bakery+Palagan+Yogyakarta" TargetMode="External" Id="rId1" /><Relationship Type="http://schemas.openxmlformats.org/officeDocument/2006/relationships/hyperlink" Target="https://www.google.com/maps/search/?api=1&amp;query=Ayodhya+Resto+Palagan+Yogyakarta" TargetMode="External" Id="rId2" /><Relationship Type="http://schemas.openxmlformats.org/officeDocument/2006/relationships/hyperlink" Target="https://www.google.com/maps/search/?api=1&amp;query=Bebungaan+Atelier+Yogyakarta" TargetMode="External" Id="rId3" /><Relationship Type="http://schemas.openxmlformats.org/officeDocument/2006/relationships/hyperlink" Target="https://www.google.com/maps/search/?api=1&amp;query=Joglo+D%27padma+Sariharjo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11" customWidth="1" min="3" max="3"/>
    <col width="10" customWidth="1" min="4" max="4"/>
    <col width="9" customWidth="1" min="5" max="5"/>
    <col width="11" customWidth="1" min="6" max="6"/>
    <col width="10" customWidth="1" min="7" max="7"/>
    <col width="10" customWidth="1" min="8" max="8"/>
    <col width="14" customWidth="1" min="9" max="9"/>
    <col width="14" customWidth="1" min="10" max="10"/>
    <col width="22" customWidth="1" min="11" max="11"/>
  </cols>
  <sheetData>
    <row r="1">
      <c r="A1" s="1" t="inlineStr">
        <is>
          <t>3 Plan Terbaik — Sabtu, 3 Oktober 2026 (09.00–18.00) · Area Ngaglik / Palagan / Jalan Kaliurang</t>
        </is>
      </c>
    </row>
    <row r="2">
      <c r="A2" s="2" t="inlineStr">
        <is>
          <t>Syarat: santai &amp; banyak ngobrol · cafe unik · semua titik ≤30 mnt mobil dari rumahnya · pola: Sarapan → Makan Siang → 1 Kegiatan Santai → Makan Malam</t>
        </is>
      </c>
    </row>
    <row r="4" ht="32" customHeight="1">
      <c r="A4" s="3" t="inlineStr">
        <is>
          <t>Plan (nama sheet)</t>
        </is>
      </c>
      <c r="B4" s="3" t="inlineStr">
        <is>
          <t>Hadiah</t>
        </is>
      </c>
      <c r="C4" s="3" t="inlineStr">
        <is>
          <t>Santai / minim gerak</t>
        </is>
      </c>
      <c r="D4" s="3" t="inlineStr">
        <is>
          <t>Banyak ngobrol</t>
        </is>
      </c>
      <c r="E4" s="3" t="inlineStr">
        <is>
          <t>Roti savory</t>
        </is>
      </c>
      <c r="F4" s="3" t="inlineStr">
        <is>
          <t>Cheesecake</t>
        </is>
      </c>
      <c r="G4" s="3" t="inlineStr">
        <is>
          <t>Hadiah berkesan</t>
        </is>
      </c>
      <c r="H4" s="3" t="inlineStr">
        <is>
          <t>Skor (maks 25)</t>
        </is>
      </c>
      <c r="I4" s="3" t="inlineStr">
        <is>
          <t>Titik terjauh dari rumahnya</t>
        </is>
      </c>
      <c r="J4" s="3" t="inlineStr">
        <is>
          <t>Est. Biaya / Orang (Rp)</t>
        </is>
      </c>
      <c r="K4" s="3" t="inlineStr">
        <is>
          <t>Wajib booking?</t>
        </is>
      </c>
    </row>
    <row r="5" ht="46" customHeight="1">
      <c r="A5" s="4" t="inlineStr">
        <is>
          <t>Meracik Parfum</t>
        </is>
      </c>
      <c r="B5" s="5" t="inlineStr">
        <is>
          <t>Parfum yang kamu racik berdasarkan kesanmu tentang dia, beri nama sendiri (misal nama panggilannya + '03.</t>
        </is>
      </c>
      <c r="C5" s="6" t="n">
        <v>5</v>
      </c>
      <c r="D5" s="6" t="n">
        <v>5</v>
      </c>
      <c r="E5" s="6" t="n">
        <v>4</v>
      </c>
      <c r="F5" s="6" t="n">
        <v>3</v>
      </c>
      <c r="G5" s="6" t="n">
        <v>5</v>
      </c>
      <c r="H5" s="6">
        <f>SUM(C5:G5)</f>
        <v/>
      </c>
      <c r="I5" s="5" t="inlineStr">
        <is>
          <t>±20 mnt</t>
        </is>
      </c>
      <c r="J5" s="7">
        <f>'Meracik Parfum'!K11</f>
        <v/>
      </c>
      <c r="K5" s="5" t="inlineStr">
        <is>
          <t>Ya — workshop parfum H-3</t>
        </is>
      </c>
    </row>
    <row r="6" ht="46" customHeight="1">
      <c r="A6" s="8" t="inlineStr">
        <is>
          <t>Membaca Buku</t>
        </is>
      </c>
      <c r="B6" s="9" t="inlineStr">
        <is>
          <t>Tukar buku: masing-masing memilihkan satu buku untuk yang lain, tulis pesan tangan di halaman pertama + selipkan pembatas buku.</t>
        </is>
      </c>
      <c r="C6" s="10" t="n">
        <v>5</v>
      </c>
      <c r="D6" s="10" t="n">
        <v>3</v>
      </c>
      <c r="E6" s="10" t="n">
        <v>5</v>
      </c>
      <c r="F6" s="10" t="n">
        <v>2</v>
      </c>
      <c r="G6" s="10" t="n">
        <v>4</v>
      </c>
      <c r="H6" s="10">
        <f>SUM(C6:G6)</f>
        <v/>
      </c>
      <c r="I6" s="9" t="inlineStr">
        <is>
          <t>±15–20 mnt</t>
        </is>
      </c>
      <c r="J6" s="11">
        <f>'Membaca Buku'!K11</f>
        <v/>
      </c>
      <c r="K6" s="9" t="inlineStr">
        <is>
          <t>Tidak</t>
        </is>
      </c>
    </row>
    <row r="7" ht="46" customHeight="1">
      <c r="A7" s="8" t="inlineStr">
        <is>
          <t>Merangkai Bunga</t>
        </is>
      </c>
      <c r="B7" s="9" t="inlineStr">
        <is>
          <t>Buket yang kamu rangkai untuknya + kartu tulisan tangan.</t>
        </is>
      </c>
      <c r="C7" s="10" t="n">
        <v>4</v>
      </c>
      <c r="D7" s="10" t="n">
        <v>4</v>
      </c>
      <c r="E7" s="10" t="n">
        <v>5</v>
      </c>
      <c r="F7" s="10" t="n">
        <v>3</v>
      </c>
      <c r="G7" s="10" t="n">
        <v>4</v>
      </c>
      <c r="H7" s="10">
        <f>SUM(C7:G7)</f>
        <v/>
      </c>
      <c r="I7" s="9" t="inlineStr">
        <is>
          <t>±25 mnt</t>
        </is>
      </c>
      <c r="J7" s="11">
        <f>'Merangkai Bunga'!K11</f>
        <v/>
      </c>
      <c r="K7" s="9" t="inlineStr">
        <is>
          <t>Ya — kelas bunga privat</t>
        </is>
      </c>
    </row>
    <row r="9">
      <c r="A9" s="12" t="inlineStr">
        <is>
          <t>Catatan</t>
        </is>
      </c>
    </row>
    <row r="10" ht="28" customHeight="1">
      <c r="A10" s="13" t="inlineStr">
        <is>
          <t>• Rekomendasi: Plan A (Meracik Parfum) — skor tertinggi, semua titik berdekatan, kegiatan duduk yang memancing obrolan, hadiah jadi hari itu juga.</t>
        </is>
      </c>
    </row>
    <row r="11" ht="28" customHeight="1">
      <c r="A11" s="13" t="inlineStr">
        <is>
          <t>• 'Maks 3 kegiatan' ditafsirkan: 3 waktu makan (sarapan, siang, malam) + SATU kegiatan santai, dengan maksimal 4 titik perhentian. Tidak ada wisata tambahan.</t>
        </is>
      </c>
    </row>
    <row r="12" ht="28" customHeight="1">
      <c r="A12" s="13" t="inlineStr">
        <is>
          <t>• Waktu tempuh adalah estimasi dari area Sinduharjo pada Sabtu siang; Jalan Kaliurang bawah (dekat UGM) bisa macet. Cek rute di Google Maps H-1.</t>
        </is>
      </c>
    </row>
    <row r="13" ht="28" customHeight="1">
      <c r="A13" s="13" t="inlineStr">
        <is>
          <t>• Skor 1–5 adalah penilaian subjektif planner. Status 'Terverifikasi' = dicek dari sumber web (Sep 2026); 'Sebagian' = sebagian info saja, cek jam buka di Maps H-1.</t>
        </is>
      </c>
    </row>
    <row r="14" ht="28" customHeight="1">
      <c r="A14" s="13" t="inlineStr">
        <is>
          <t>• Biaya adalah ESTIMASI per orang (tanpa bensin/parkir). Edit angka biru di tiap sheet — total &amp; ringkasan ikut berubah.</t>
        </is>
      </c>
    </row>
    <row r="15" ht="28" customHeight="1">
      <c r="A15" s="13" t="inlineStr">
        <is>
          <t>• Makan malam dimulai 15.45–16.45 supaya bisa pulang tepat ±18.00. Awal Oktober peralihan ke musim hujan: semua kegiatan utama indoor/beratap.</t>
        </is>
      </c>
    </row>
  </sheetData>
  <mergeCells count="6">
    <mergeCell ref="A12:K12"/>
    <mergeCell ref="A15:K15"/>
    <mergeCell ref="A11:K11"/>
    <mergeCell ref="A10:K10"/>
    <mergeCell ref="A13:K13"/>
    <mergeCell ref="A14:K14"/>
  </mergeCells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zoomScale="90"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8" customWidth="1" min="3" max="3"/>
    <col width="10" customWidth="1" min="4" max="4"/>
    <col width="14" customWidth="1" min="5" max="5"/>
    <col width="28" customWidth="1" min="6" max="6"/>
    <col width="32" customWidth="1" min="7" max="7"/>
    <col width="13" customWidth="1" min="8" max="8"/>
    <col width="14" customWidth="1" min="9" max="9"/>
    <col width="16" customWidth="1" min="10" max="10"/>
    <col width="14" customWidth="1" min="11" max="11"/>
    <col width="34" customWidth="1" min="12" max="12"/>
    <col width="40" customWidth="1" min="13" max="13"/>
    <col width="46" customWidth="1" min="14" max="14"/>
    <col width="22" customWidth="1" min="15" max="15"/>
  </cols>
  <sheetData>
    <row r="1">
      <c r="A1" s="1" t="inlineStr">
        <is>
          <t>Plan A — Meracik Parfum (REKOMENDASI UTAMA)</t>
        </is>
      </c>
    </row>
    <row r="2" ht="36" customHeight="1">
      <c r="A2" s="14" t="inlineStr">
        <is>
          <t>Konsep</t>
        </is>
      </c>
      <c r="B2" s="15" t="n"/>
      <c r="C2" s="15" t="n"/>
      <c r="D2" s="16" t="inlineStr">
        <is>
          <t>Sarapan di roastery Palagan, makan siang ala desa di tengah sawah, lalu duduk santai meracik parfum 1,5–2 jam — kegiatan yang memang penuh obrolan ('wangi ini kayak kamu nggak?'). Tutup dengan makan malam di Epic Coffee.</t>
        </is>
      </c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</row>
    <row r="3" ht="36" customHeight="1">
      <c r="A3" s="17" t="inlineStr">
        <is>
          <t>Hadiah</t>
        </is>
      </c>
      <c r="B3" s="18" t="n"/>
      <c r="C3" s="18" t="n"/>
      <c r="D3" s="19" t="inlineStr">
        <is>
          <t>Parfum yang kamu racik berdasarkan kesanmu tentang dia, beri nama sendiri (misal nama panggilannya + '03.10'). Aroma = pemicu memori paling kuat. Opsional: dia juga meracik satu untukmu.</t>
        </is>
      </c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  <c r="N3" s="18" t="n"/>
      <c r="O3" s="18" t="n"/>
    </row>
    <row r="4" ht="36" customHeight="1">
      <c r="A4" s="14" t="inlineStr">
        <is>
          <t>Kenapa plan ini</t>
        </is>
      </c>
      <c r="B4" s="15" t="n"/>
      <c r="C4" s="15" t="n"/>
      <c r="D4" s="16" t="inlineStr">
        <is>
          <t>Semua titik di koridor Palagan–Jakal km 6,5 (≤20 mnt dari rumahnya). Kegiatannya duduk, bukan jalan kaki. Hadiah jadi hari itu juga.</t>
        </is>
      </c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</row>
    <row r="6" ht="34" customHeight="1">
      <c r="A6" s="3" t="inlineStr">
        <is>
          <t>No</t>
        </is>
      </c>
      <c r="B6" s="3" t="inlineStr">
        <is>
          <t>Mulai</t>
        </is>
      </c>
      <c r="C6" s="3" t="inlineStr">
        <is>
          <t>Selesai</t>
        </is>
      </c>
      <c r="D6" s="3" t="inlineStr">
        <is>
          <t>Durasi (menit)</t>
        </is>
      </c>
      <c r="E6" s="3" t="inlineStr">
        <is>
          <t>Sesi</t>
        </is>
      </c>
      <c r="F6" s="3" t="inlineStr">
        <is>
          <t>Tempat</t>
        </is>
      </c>
      <c r="G6" s="3" t="inlineStr">
        <is>
          <t>Alamat / Area</t>
        </is>
      </c>
      <c r="H6" s="3" t="inlineStr">
        <is>
          <t>Google Maps</t>
        </is>
      </c>
      <c r="I6" s="3" t="inlineStr">
        <is>
          <t>Waktu dari rumahnya (mobil)</t>
        </is>
      </c>
      <c r="J6" s="3" t="inlineStr">
        <is>
          <t>Perjalanan dari titik sebelumnya</t>
        </is>
      </c>
      <c r="K6" s="3" t="inlineStr">
        <is>
          <t>Est. Biaya / Orang (Rp)</t>
        </is>
      </c>
      <c r="L6" s="3" t="inlineStr">
        <is>
          <t>Yang dipesan / dilakukan</t>
        </is>
      </c>
      <c r="M6" s="3" t="inlineStr">
        <is>
          <t>Kenapa cocok</t>
        </is>
      </c>
      <c r="N6" s="3" t="inlineStr">
        <is>
          <t>Tips / Catatan</t>
        </is>
      </c>
      <c r="O6" s="3" t="inlineStr">
        <is>
          <t>Status Info</t>
        </is>
      </c>
    </row>
    <row r="7" ht="78" customHeight="1">
      <c r="A7" s="20" t="n">
        <v>1</v>
      </c>
      <c r="B7" s="21" t="n">
        <v>0.375</v>
      </c>
      <c r="C7" s="21" t="n">
        <v>0.4479166666666667</v>
      </c>
      <c r="D7" s="20">
        <f>ROUND((C7-B7)*1440,0)</f>
        <v/>
      </c>
      <c r="E7" s="22" t="inlineStr">
        <is>
          <t>Sarapan</t>
        </is>
      </c>
      <c r="F7" s="22" t="inlineStr">
        <is>
          <t>Perdipe Coffee</t>
        </is>
      </c>
      <c r="G7" s="20" t="inlineStr">
        <is>
          <t>Jl. Palagan Tentara Pelajar, Ngaglik</t>
        </is>
      </c>
      <c r="H7" s="23" t="inlineStr">
        <is>
          <t>Buka Maps</t>
        </is>
      </c>
      <c r="I7" s="20" t="inlineStr">
        <is>
          <t>±10–15 mnt</t>
        </is>
      </c>
      <c r="J7" s="20" t="inlineStr">
        <is>
          <t>Jemput 08.40</t>
        </is>
      </c>
      <c r="K7" s="24" t="n">
        <v>90000</v>
      </c>
      <c r="L7" s="20" t="inlineStr">
        <is>
          <t>Croissant/menu roti savory + caffe latte</t>
        </is>
      </c>
      <c r="M7" s="20" t="inlineStr">
        <is>
          <t>Roastery yang memproses kopinya sendiri — unik &amp; cocok untuk pecinta latte.</t>
        </is>
      </c>
      <c r="N7" s="20" t="inlineStr">
        <is>
          <t>Minta meja pojok/semi-outdoor untuk ngobrol panjang.</t>
        </is>
      </c>
      <c r="O7" s="20" t="inlineStr">
        <is>
          <t>Sebagian terverifikasi (kumparan)</t>
        </is>
      </c>
    </row>
    <row r="8" ht="78" customHeight="1">
      <c r="A8" s="25" t="n">
        <v>2</v>
      </c>
      <c r="B8" s="26" t="n">
        <v>0.46875</v>
      </c>
      <c r="C8" s="26" t="n">
        <v>0.53125</v>
      </c>
      <c r="D8" s="25">
        <f>ROUND((C8-B8)*1440,0)</f>
        <v/>
      </c>
      <c r="E8" s="27" t="inlineStr">
        <is>
          <t>Makan Siang</t>
        </is>
      </c>
      <c r="F8" s="27" t="inlineStr">
        <is>
          <t>Desa Palagan</t>
        </is>
      </c>
      <c r="G8" s="25" t="inlineStr">
        <is>
          <t>Jl. Shinta, Karang Moko, Sariharjo, Ngaglik</t>
        </is>
      </c>
      <c r="H8" s="28" t="inlineStr">
        <is>
          <t>Buka Maps</t>
        </is>
      </c>
      <c r="I8" s="25" t="inlineStr">
        <is>
          <t>±10 mnt</t>
        </is>
      </c>
      <c r="J8" s="25" t="inlineStr">
        <is>
          <t>±10 mnt</t>
        </is>
      </c>
      <c r="K8" s="29" t="n">
        <v>60000</v>
      </c>
      <c r="L8" s="25" t="inlineStr">
        <is>
          <t>Masakan rumahan Jawa</t>
        </is>
      </c>
      <c r="M8" s="25" t="inlineStr">
        <is>
          <t>Makan di suasana pedesaan &amp; sawah — tenang, murah (mulai Rp10 ribuan).</t>
        </is>
      </c>
      <c r="N8" s="25" t="inlineStr">
        <is>
          <t>Datang sebelum jam 12 agar tidak antre.</t>
        </is>
      </c>
      <c r="O8" s="25" t="inlineStr">
        <is>
          <t>Sebagian terverifikasi (Jawa Pos, Liputan6)</t>
        </is>
      </c>
    </row>
    <row r="9" ht="78" customHeight="1">
      <c r="A9" s="30" t="n">
        <v>3</v>
      </c>
      <c r="B9" s="31" t="n">
        <v>0.5520833333333334</v>
      </c>
      <c r="C9" s="31" t="n">
        <v>0.6354166666666666</v>
      </c>
      <c r="D9" s="30">
        <f>ROUND((C9-B9)*1440,0)</f>
        <v/>
      </c>
      <c r="E9" s="32" t="inlineStr">
        <is>
          <t>Kegiatan Santai</t>
        </is>
      </c>
      <c r="F9" s="32" t="inlineStr">
        <is>
          <t>Wangi Lab — workshop racik parfum</t>
        </is>
      </c>
      <c r="G9" s="30" t="inlineStr">
        <is>
          <t>Area Jl. Kaliurang km 6,5</t>
        </is>
      </c>
      <c r="H9" s="33" t="inlineStr">
        <is>
          <t>Buka Maps</t>
        </is>
      </c>
      <c r="I9" s="30" t="inlineStr">
        <is>
          <t>±15 mnt</t>
        </is>
      </c>
      <c r="J9" s="30" t="inlineStr">
        <is>
          <t>±20 mnt</t>
        </is>
      </c>
      <c r="K9" s="34" t="n">
        <v>250000</v>
      </c>
      <c r="L9" s="30" t="inlineStr">
        <is>
          <t>Konsultasi karakter → cium notes → racik → beri label nama</t>
        </is>
      </c>
      <c r="M9" s="30" t="inlineStr">
        <is>
          <t>Konsep 'heritage tapi modern' (mis. kayu manis, cendana). Buka 09.00–21.00, kisaran Rp150–280 ribu.</t>
        </is>
      </c>
      <c r="N9" s="30" t="inlineStr">
        <is>
          <t>BOOKING H-3 &amp; minta alamat pasti. Alternatif: Paddy Perfume Lab / Lab Art Aromatique / SW Perfumery. Opsional: beli cheesecake Baked by Gines (Jl. Kaliurang No.5, ±5 mnt) untuk dibawa pulang dia.</t>
        </is>
      </c>
      <c r="O9" s="30" t="inlineStr">
        <is>
          <t>Sebagian terverifikasi (jogjaasik, beritanation)</t>
        </is>
      </c>
    </row>
    <row r="10" ht="78" customHeight="1">
      <c r="A10" s="35" t="n">
        <v>4</v>
      </c>
      <c r="B10" s="36" t="n">
        <v>0.65625</v>
      </c>
      <c r="C10" s="36" t="n">
        <v>0.7395833333333334</v>
      </c>
      <c r="D10" s="35">
        <f>ROUND((C10-B10)*1440,0)</f>
        <v/>
      </c>
      <c r="E10" s="37" t="inlineStr">
        <is>
          <t>Makan Malam</t>
        </is>
      </c>
      <c r="F10" s="37" t="inlineStr">
        <is>
          <t>Epic Coffee Jogja</t>
        </is>
      </c>
      <c r="G10" s="35" t="inlineStr">
        <is>
          <t>Jl. Palagan Tentara Pelajar No.29, Mudal, Sariharjo</t>
        </is>
      </c>
      <c r="H10" s="38" t="inlineStr">
        <is>
          <t>Buka Maps</t>
        </is>
      </c>
      <c r="I10" s="35" t="inlineStr">
        <is>
          <t>±10–15 mnt</t>
        </is>
      </c>
      <c r="J10" s="35" t="inlineStr">
        <is>
          <t>±20 mnt</t>
        </is>
      </c>
      <c r="K10" s="39" t="n">
        <v>120000</v>
      </c>
      <c r="L10" s="35" t="inlineStr">
        <is>
          <t>Makan malam + latte + dessert (tanyakan cheesecake). Serahkan parfum di sini.</t>
        </is>
      </c>
      <c r="M10" s="35" t="inlineStr">
        <is>
          <t>Desain perpaduan modern &amp; tradisional, luas — enak untuk ngobrol lama.</t>
        </is>
      </c>
      <c r="N10" s="35" t="inlineStr">
        <is>
          <t>Antar pulang ±15 mnt, tiba ±18.00.</t>
        </is>
      </c>
      <c r="O10" s="35" t="inlineStr">
        <is>
          <t>Sebagian terverifikasi (Liputan6)</t>
        </is>
      </c>
    </row>
    <row r="11">
      <c r="A11" s="40" t="n"/>
      <c r="B11" s="40" t="n"/>
      <c r="C11" s="40" t="n"/>
      <c r="D11" s="40">
        <f>SUM(D7:D10)</f>
        <v/>
      </c>
      <c r="E11" s="40" t="inlineStr">
        <is>
          <t>TOTAL</t>
        </is>
      </c>
      <c r="F11" s="40" t="n"/>
      <c r="G11" s="40" t="n"/>
      <c r="H11" s="40" t="n"/>
      <c r="I11" s="40" t="n"/>
      <c r="J11" s="40" t="n"/>
      <c r="K11" s="41">
        <f>SUM(K7:K10)</f>
        <v/>
      </c>
      <c r="L11" s="40" t="inlineStr">
        <is>
          <t>menit di lokasi / biaya per orang (estimasi)</t>
        </is>
      </c>
      <c r="M11" s="40" t="n"/>
      <c r="N11" s="40" t="n"/>
      <c r="O11" s="40" t="n"/>
    </row>
    <row r="12">
      <c r="A12" s="42" t="inlineStr">
        <is>
          <t>Jeda antar baris = waktu perjalanan. Angka biru = estimasi yang boleh diubah. 'Buka Maps' membuka pencarian Google Maps tempat tsb.</t>
        </is>
      </c>
    </row>
  </sheetData>
  <mergeCells count="6">
    <mergeCell ref="D2:O2"/>
    <mergeCell ref="D4:O4"/>
    <mergeCell ref="A3:C3"/>
    <mergeCell ref="D3:O3"/>
    <mergeCell ref="A4:C4"/>
    <mergeCell ref="A2:C2"/>
  </mergeCells>
  <hyperlinks>
    <hyperlink xmlns:r="http://schemas.openxmlformats.org/officeDocument/2006/relationships" ref="H7" r:id="rId1"/>
    <hyperlink xmlns:r="http://schemas.openxmlformats.org/officeDocument/2006/relationships" ref="H8" r:id="rId2"/>
    <hyperlink xmlns:r="http://schemas.openxmlformats.org/officeDocument/2006/relationships" ref="H9" r:id="rId3"/>
    <hyperlink xmlns:r="http://schemas.openxmlformats.org/officeDocument/2006/relationships" ref="H10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"/>
  <sheetViews>
    <sheetView zoomScale="90"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8" customWidth="1" min="3" max="3"/>
    <col width="10" customWidth="1" min="4" max="4"/>
    <col width="14" customWidth="1" min="5" max="5"/>
    <col width="28" customWidth="1" min="6" max="6"/>
    <col width="32" customWidth="1" min="7" max="7"/>
    <col width="13" customWidth="1" min="8" max="8"/>
    <col width="14" customWidth="1" min="9" max="9"/>
    <col width="16" customWidth="1" min="10" max="10"/>
    <col width="14" customWidth="1" min="11" max="11"/>
    <col width="34" customWidth="1" min="12" max="12"/>
    <col width="40" customWidth="1" min="13" max="13"/>
    <col width="46" customWidth="1" min="14" max="14"/>
    <col width="22" customWidth="1" min="15" max="15"/>
  </cols>
  <sheetData>
    <row r="1">
      <c r="A1" s="1" t="inlineStr">
        <is>
          <t>Plan B — Membaca Buku di Buku Akik</t>
        </is>
      </c>
    </row>
    <row r="2" ht="36" customHeight="1">
      <c r="A2" s="14" t="inlineStr">
        <is>
          <t>Konsep</t>
        </is>
      </c>
      <c r="B2" s="15" t="n"/>
      <c r="C2" s="15" t="n"/>
      <c r="D2" s="16" t="inlineStr">
        <is>
          <t>Pastry Prancis di bakery bertema bioskop, makan siang prasmanan Jawa di tepi sungai &amp; rumpun bambu (dekat sekali dengan rumahnya), lalu sore di toko-buku-perpustakaan Buku Akik. Makan malam tenang di Palagan.</t>
        </is>
      </c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</row>
    <row r="3" ht="36" customHeight="1">
      <c r="A3" s="17" t="inlineStr">
        <is>
          <t>Hadiah</t>
        </is>
      </c>
      <c r="B3" s="18" t="n"/>
      <c r="C3" s="18" t="n"/>
      <c r="D3" s="19" t="inlineStr">
        <is>
          <t>Tukar buku: masing-masing memilihkan satu buku untuk yang lain, tulis pesan tangan di halaman pertama + selipkan pembatas buku.</t>
        </is>
      </c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  <c r="N3" s="18" t="n"/>
      <c r="O3" s="18" t="n"/>
    </row>
    <row r="4" ht="36" customHeight="1">
      <c r="A4" s="14" t="inlineStr">
        <is>
          <t>Kenapa plan ini</t>
        </is>
      </c>
      <c r="B4" s="15" t="n"/>
      <c r="C4" s="15" t="n"/>
      <c r="D4" s="16" t="inlineStr">
        <is>
          <t>Paling dekat (semua ≤15–20 mnt) &amp; paling murah. PERHATIAN: membaca itu kegiatan diam — kalau tujuan utamamu banyak ngobrol, ini paling lemah dari ketiganya. Di Buku Akik, lebih banyak 'ngobrol soal buku' daripada membaca.</t>
        </is>
      </c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</row>
    <row r="6" ht="34" customHeight="1">
      <c r="A6" s="3" t="inlineStr">
        <is>
          <t>No</t>
        </is>
      </c>
      <c r="B6" s="3" t="inlineStr">
        <is>
          <t>Mulai</t>
        </is>
      </c>
      <c r="C6" s="3" t="inlineStr">
        <is>
          <t>Selesai</t>
        </is>
      </c>
      <c r="D6" s="3" t="inlineStr">
        <is>
          <t>Durasi (menit)</t>
        </is>
      </c>
      <c r="E6" s="3" t="inlineStr">
        <is>
          <t>Sesi</t>
        </is>
      </c>
      <c r="F6" s="3" t="inlineStr">
        <is>
          <t>Tempat</t>
        </is>
      </c>
      <c r="G6" s="3" t="inlineStr">
        <is>
          <t>Alamat / Area</t>
        </is>
      </c>
      <c r="H6" s="3" t="inlineStr">
        <is>
          <t>Google Maps</t>
        </is>
      </c>
      <c r="I6" s="3" t="inlineStr">
        <is>
          <t>Waktu dari rumahnya (mobil)</t>
        </is>
      </c>
      <c r="J6" s="3" t="inlineStr">
        <is>
          <t>Perjalanan dari titik sebelumnya</t>
        </is>
      </c>
      <c r="K6" s="3" t="inlineStr">
        <is>
          <t>Est. Biaya / Orang (Rp)</t>
        </is>
      </c>
      <c r="L6" s="3" t="inlineStr">
        <is>
          <t>Yang dipesan / dilakukan</t>
        </is>
      </c>
      <c r="M6" s="3" t="inlineStr">
        <is>
          <t>Kenapa cocok</t>
        </is>
      </c>
      <c r="N6" s="3" t="inlineStr">
        <is>
          <t>Tips / Catatan</t>
        </is>
      </c>
      <c r="O6" s="3" t="inlineStr">
        <is>
          <t>Status Info</t>
        </is>
      </c>
    </row>
    <row r="7" ht="78" customHeight="1">
      <c r="A7" s="20" t="n">
        <v>1</v>
      </c>
      <c r="B7" s="21" t="n">
        <v>0.375</v>
      </c>
      <c r="C7" s="21" t="n">
        <v>0.4479166666666667</v>
      </c>
      <c r="D7" s="20">
        <f>ROUND((C7-B7)*1440,0)</f>
        <v/>
      </c>
      <c r="E7" s="22" t="inlineStr">
        <is>
          <t>Sarapan</t>
        </is>
      </c>
      <c r="F7" s="22" t="inlineStr">
        <is>
          <t>Cinema Bakery</t>
        </is>
      </c>
      <c r="G7" s="20" t="inlineStr">
        <is>
          <t>Jl. Yudistira, Wonorejo, Sariharjo, Ngaglik</t>
        </is>
      </c>
      <c r="H7" s="23" t="inlineStr">
        <is>
          <t>Buka Maps</t>
        </is>
      </c>
      <c r="I7" s="20" t="inlineStr">
        <is>
          <t>±10–15 mnt</t>
        </is>
      </c>
      <c r="J7" s="20" t="inlineStr">
        <is>
          <t>Jemput 08.40</t>
        </is>
      </c>
      <c r="K7" s="24" t="n">
        <v>100000</v>
      </c>
      <c r="L7" s="20" t="inlineStr">
        <is>
          <t>Croissant, quiche + caffe latte</t>
        </is>
      </c>
      <c r="M7" s="20" t="inlineStr">
        <is>
          <t>Pastry Prancis autentik (chef Prancis) di bangunan Jawa dengan nuansa bioskop — unik dan roti savory-nya paling kuat.</t>
        </is>
      </c>
      <c r="N7" s="20" t="inlineStr">
        <is>
          <t>Buka 07.00–20.00.</t>
        </is>
      </c>
      <c r="O7" s="20" t="inlineStr">
        <is>
          <t>Terverifikasi (Radar Jogja, IDN Times)</t>
        </is>
      </c>
    </row>
    <row r="8" ht="78" customHeight="1">
      <c r="A8" s="25" t="n">
        <v>2</v>
      </c>
      <c r="B8" s="26" t="n">
        <v>0.46875</v>
      </c>
      <c r="C8" s="26" t="n">
        <v>0.53125</v>
      </c>
      <c r="D8" s="25">
        <f>ROUND((C8-B8)*1440,0)</f>
        <v/>
      </c>
      <c r="E8" s="27" t="inlineStr">
        <is>
          <t>Makan Siang</t>
        </is>
      </c>
      <c r="F8" s="27" t="inlineStr">
        <is>
          <t>Ndalem Klangenan</t>
        </is>
      </c>
      <c r="G8" s="25" t="inlineStr">
        <is>
          <t>Jl. Sumberan 2 No.4, Ngentak, Sinduharjo</t>
        </is>
      </c>
      <c r="H8" s="28" t="inlineStr">
        <is>
          <t>Buka Maps</t>
        </is>
      </c>
      <c r="I8" s="25" t="inlineStr">
        <is>
          <t>±5–10 mnt</t>
        </is>
      </c>
      <c r="J8" s="25" t="inlineStr">
        <is>
          <t>±15 mnt</t>
        </is>
      </c>
      <c r="K8" s="29" t="n">
        <v>70000</v>
      </c>
      <c r="L8" s="25" t="inlineStr">
        <is>
          <t>Prasmanan Jawa: mangut, menthok asap, garang asem; jajanan tradisional</t>
        </is>
      </c>
      <c r="M8" s="25" t="inlineStr">
        <is>
          <t>Dikelilingi pepohonan, bambu &amp; sungai — adem dan unik.</t>
        </is>
      </c>
      <c r="N8" s="25" t="inlineStr">
        <is>
          <t>Buka 08.00–21.00. Viral &amp; ramai di akhir pekan: datang 11.15 sebelum puncak.</t>
        </is>
      </c>
      <c r="O8" s="25" t="inlineStr">
        <is>
          <t>Terverifikasi (TikTok, IDN Times)</t>
        </is>
      </c>
    </row>
    <row r="9" ht="78" customHeight="1">
      <c r="A9" s="30" t="n">
        <v>3</v>
      </c>
      <c r="B9" s="31" t="n">
        <v>0.5416666666666666</v>
      </c>
      <c r="C9" s="31" t="n">
        <v>0.6770833333333334</v>
      </c>
      <c r="D9" s="30">
        <f>ROUND((C9-B9)*1440,0)</f>
        <v/>
      </c>
      <c r="E9" s="32" t="inlineStr">
        <is>
          <t>Kegiatan Santai</t>
        </is>
      </c>
      <c r="F9" s="32" t="inlineStr">
        <is>
          <t>Buku Akik</t>
        </is>
      </c>
      <c r="G9" s="30" t="inlineStr">
        <is>
          <t>Jl. Kaliurang km 12, Gg. Besi Raja No.60D, Sardonoharjo</t>
        </is>
      </c>
      <c r="H9" s="33" t="inlineStr">
        <is>
          <t>Buka Maps</t>
        </is>
      </c>
      <c r="I9" s="30" t="inlineStr">
        <is>
          <t>±10–15 mnt</t>
        </is>
      </c>
      <c r="J9" s="30" t="inlineStr">
        <is>
          <t>±15 mnt</t>
        </is>
      </c>
      <c r="K9" s="34" t="n">
        <v>150000</v>
      </c>
      <c r="L9" s="30" t="inlineStr">
        <is>
          <t>Jelajah rak, kopi, ritual tukar buku + tulis pesan</t>
        </is>
      </c>
      <c r="M9" s="30" t="inlineStr">
        <is>
          <t>Toko buku + perpustakaan + kopi; suasana 'waktu melambat'.</t>
        </is>
      </c>
      <c r="N9" s="30" t="inlineStr">
        <is>
          <t>Buka ±10.00–18.30/19.00. Biaya = buku ±Rp100 ribu + minuman.</t>
        </is>
      </c>
      <c r="O9" s="30" t="inlineStr">
        <is>
          <t>Terverifikasi (IG)</t>
        </is>
      </c>
    </row>
    <row r="10" ht="78" customHeight="1">
      <c r="A10" s="35" t="n">
        <v>4</v>
      </c>
      <c r="B10" s="36" t="n">
        <v>0.6979166666666666</v>
      </c>
      <c r="C10" s="36" t="n">
        <v>0.7430555555555556</v>
      </c>
      <c r="D10" s="35">
        <f>ROUND((C10-B10)*1440,0)</f>
        <v/>
      </c>
      <c r="E10" s="37" t="inlineStr">
        <is>
          <t>Makan Malam</t>
        </is>
      </c>
      <c r="F10" s="37" t="inlineStr">
        <is>
          <t>Ayodhya Resto Coffee &amp; Eatery</t>
        </is>
      </c>
      <c r="G10" s="35" t="inlineStr">
        <is>
          <t>Jl. Palagan Tentara Pelajar No.5</t>
        </is>
      </c>
      <c r="H10" s="38" t="inlineStr">
        <is>
          <t>Buka Maps</t>
        </is>
      </c>
      <c r="I10" s="35" t="inlineStr">
        <is>
          <t>±15–20 mnt</t>
        </is>
      </c>
      <c r="J10" s="35" t="inlineStr">
        <is>
          <t>±20 mnt</t>
        </is>
      </c>
      <c r="K10" s="39" t="n">
        <v>150000</v>
      </c>
      <c r="L10" s="35" t="inlineStr">
        <is>
          <t>Western/Nusantara (pasta, beef stroganoff) + dessert</t>
        </is>
      </c>
      <c r="M10" s="35" t="inlineStr">
        <is>
          <t>Pengunjung menyebut suasananya tenang, interior elegan &amp; hangat.</t>
        </is>
      </c>
      <c r="N10" s="35" t="inlineStr">
        <is>
          <t>Jam buka beda antar sumber (10.30/12.00–21.00/22.00). Cek Maps H-1.</t>
        </is>
      </c>
      <c r="O10" s="35" t="inlineStr">
        <is>
          <t>Sebagian terverifikasi (Liputan6, situs resmi)</t>
        </is>
      </c>
    </row>
    <row r="11">
      <c r="A11" s="40" t="n"/>
      <c r="B11" s="40" t="n"/>
      <c r="C11" s="40" t="n"/>
      <c r="D11" s="40">
        <f>SUM(D7:D10)</f>
        <v/>
      </c>
      <c r="E11" s="40" t="inlineStr">
        <is>
          <t>TOTAL</t>
        </is>
      </c>
      <c r="F11" s="40" t="n"/>
      <c r="G11" s="40" t="n"/>
      <c r="H11" s="40" t="n"/>
      <c r="I11" s="40" t="n"/>
      <c r="J11" s="40" t="n"/>
      <c r="K11" s="41">
        <f>SUM(K7:K10)</f>
        <v/>
      </c>
      <c r="L11" s="40" t="inlineStr">
        <is>
          <t>menit di lokasi / biaya per orang (estimasi)</t>
        </is>
      </c>
      <c r="M11" s="40" t="n"/>
      <c r="N11" s="40" t="n"/>
      <c r="O11" s="40" t="n"/>
    </row>
    <row r="12">
      <c r="A12" s="42" t="inlineStr">
        <is>
          <t>Jeda antar baris = waktu perjalanan. Angka biru = estimasi yang boleh diubah. 'Buka Maps' membuka pencarian Google Maps tempat tsb.</t>
        </is>
      </c>
    </row>
  </sheetData>
  <mergeCells count="6">
    <mergeCell ref="D2:O2"/>
    <mergeCell ref="D4:O4"/>
    <mergeCell ref="A3:C3"/>
    <mergeCell ref="D3:O3"/>
    <mergeCell ref="A4:C4"/>
    <mergeCell ref="A2:C2"/>
  </mergeCells>
  <hyperlinks>
    <hyperlink xmlns:r="http://schemas.openxmlformats.org/officeDocument/2006/relationships" ref="H7" r:id="rId1"/>
    <hyperlink xmlns:r="http://schemas.openxmlformats.org/officeDocument/2006/relationships" ref="H8" r:id="rId2"/>
    <hyperlink xmlns:r="http://schemas.openxmlformats.org/officeDocument/2006/relationships" ref="H9" r:id="rId3"/>
    <hyperlink xmlns:r="http://schemas.openxmlformats.org/officeDocument/2006/relationships" ref="H10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"/>
  <sheetViews>
    <sheetView zoomScale="90"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8" customWidth="1" min="3" max="3"/>
    <col width="10" customWidth="1" min="4" max="4"/>
    <col width="14" customWidth="1" min="5" max="5"/>
    <col width="28" customWidth="1" min="6" max="6"/>
    <col width="32" customWidth="1" min="7" max="7"/>
    <col width="13" customWidth="1" min="8" max="8"/>
    <col width="14" customWidth="1" min="9" max="9"/>
    <col width="16" customWidth="1" min="10" max="10"/>
    <col width="14" customWidth="1" min="11" max="11"/>
    <col width="34" customWidth="1" min="12" max="12"/>
    <col width="40" customWidth="1" min="13" max="13"/>
    <col width="46" customWidth="1" min="14" max="14"/>
    <col width="22" customWidth="1" min="15" max="15"/>
  </cols>
  <sheetData>
    <row r="1">
      <c r="A1" s="1" t="inlineStr">
        <is>
          <t>Plan C — Merangkai Bunga (kelas privat)</t>
        </is>
      </c>
    </row>
    <row r="2" ht="36" customHeight="1">
      <c r="A2" s="14" t="inlineStr">
        <is>
          <t>Konsep</t>
        </is>
      </c>
      <c r="B2" s="15" t="n"/>
      <c r="C2" s="15" t="n"/>
      <c r="D2" s="16" t="inlineStr">
        <is>
          <t>Pastry Prancis di Cinema Bakery, makan siang elegan di Palagan, kelas merangkai bunga privat (hanya kalian berdua) di Karanggayam, lalu makan malam Jawa di joglo luas dekat rumahnya.</t>
        </is>
      </c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</row>
    <row r="3" ht="36" customHeight="1">
      <c r="A3" s="17" t="inlineStr">
        <is>
          <t>Hadiah</t>
        </is>
      </c>
      <c r="B3" s="18" t="n"/>
      <c r="C3" s="18" t="n"/>
      <c r="D3" s="19" t="inlineStr">
        <is>
          <t>Buket yang kamu rangkai untuknya + kartu tulisan tangan. Sisihkan 1 tangkai untuk dikeringkan (pressed flower) supaya awet.</t>
        </is>
      </c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  <c r="N3" s="18" t="n"/>
      <c r="O3" s="18" t="n"/>
    </row>
    <row r="4" ht="36" customHeight="1">
      <c r="A4" s="14" t="inlineStr">
        <is>
          <t>Kenapa plan ini</t>
        </is>
      </c>
      <c r="B4" s="15" t="n"/>
      <c r="C4" s="15" t="n"/>
      <c r="D4" s="16" t="inlineStr">
        <is>
          <t>Paling intim &amp; 'instagramable'. Titik terjauh (studio, ±25 mnt) masih di bawah 30 mnt, tapi paling mahal. Catatan: buket dari teman lama bisa terbaca romantis.</t>
        </is>
      </c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</row>
    <row r="6" ht="34" customHeight="1">
      <c r="A6" s="3" t="inlineStr">
        <is>
          <t>No</t>
        </is>
      </c>
      <c r="B6" s="3" t="inlineStr">
        <is>
          <t>Mulai</t>
        </is>
      </c>
      <c r="C6" s="3" t="inlineStr">
        <is>
          <t>Selesai</t>
        </is>
      </c>
      <c r="D6" s="3" t="inlineStr">
        <is>
          <t>Durasi (menit)</t>
        </is>
      </c>
      <c r="E6" s="3" t="inlineStr">
        <is>
          <t>Sesi</t>
        </is>
      </c>
      <c r="F6" s="3" t="inlineStr">
        <is>
          <t>Tempat</t>
        </is>
      </c>
      <c r="G6" s="3" t="inlineStr">
        <is>
          <t>Alamat / Area</t>
        </is>
      </c>
      <c r="H6" s="3" t="inlineStr">
        <is>
          <t>Google Maps</t>
        </is>
      </c>
      <c r="I6" s="3" t="inlineStr">
        <is>
          <t>Waktu dari rumahnya (mobil)</t>
        </is>
      </c>
      <c r="J6" s="3" t="inlineStr">
        <is>
          <t>Perjalanan dari titik sebelumnya</t>
        </is>
      </c>
      <c r="K6" s="3" t="inlineStr">
        <is>
          <t>Est. Biaya / Orang (Rp)</t>
        </is>
      </c>
      <c r="L6" s="3" t="inlineStr">
        <is>
          <t>Yang dipesan / dilakukan</t>
        </is>
      </c>
      <c r="M6" s="3" t="inlineStr">
        <is>
          <t>Kenapa cocok</t>
        </is>
      </c>
      <c r="N6" s="3" t="inlineStr">
        <is>
          <t>Tips / Catatan</t>
        </is>
      </c>
      <c r="O6" s="3" t="inlineStr">
        <is>
          <t>Status Info</t>
        </is>
      </c>
    </row>
    <row r="7" ht="78" customHeight="1">
      <c r="A7" s="20" t="n">
        <v>1</v>
      </c>
      <c r="B7" s="21" t="n">
        <v>0.375</v>
      </c>
      <c r="C7" s="21" t="n">
        <v>0.4479166666666667</v>
      </c>
      <c r="D7" s="20">
        <f>ROUND((C7-B7)*1440,0)</f>
        <v/>
      </c>
      <c r="E7" s="22" t="inlineStr">
        <is>
          <t>Sarapan</t>
        </is>
      </c>
      <c r="F7" s="22" t="inlineStr">
        <is>
          <t>Cinema Bakery</t>
        </is>
      </c>
      <c r="G7" s="20" t="inlineStr">
        <is>
          <t>Jl. Yudistira, Wonorejo, Sariharjo, Ngaglik</t>
        </is>
      </c>
      <c r="H7" s="23" t="inlineStr">
        <is>
          <t>Buka Maps</t>
        </is>
      </c>
      <c r="I7" s="20" t="inlineStr">
        <is>
          <t>±10–15 mnt</t>
        </is>
      </c>
      <c r="J7" s="20" t="inlineStr">
        <is>
          <t>Jemput 08.40</t>
        </is>
      </c>
      <c r="K7" s="24" t="n">
        <v>100000</v>
      </c>
      <c r="L7" s="20" t="inlineStr">
        <is>
          <t>Croissant, quiche + caffe latte</t>
        </is>
      </c>
      <c r="M7" s="20" t="inlineStr">
        <is>
          <t>Roti savory paling kuat di area ini, tempatnya unik.</t>
        </is>
      </c>
      <c r="N7" s="20" t="inlineStr">
        <is>
          <t>Buka 07.00–20.00.</t>
        </is>
      </c>
      <c r="O7" s="20" t="inlineStr">
        <is>
          <t>Terverifikasi (Radar Jogja, IDN Times)</t>
        </is>
      </c>
    </row>
    <row r="8" ht="78" customHeight="1">
      <c r="A8" s="25" t="n">
        <v>2</v>
      </c>
      <c r="B8" s="26" t="n">
        <v>0.4791666666666667</v>
      </c>
      <c r="C8" s="26" t="n">
        <v>0.53125</v>
      </c>
      <c r="D8" s="25">
        <f>ROUND((C8-B8)*1440,0)</f>
        <v/>
      </c>
      <c r="E8" s="27" t="inlineStr">
        <is>
          <t>Makan Siang</t>
        </is>
      </c>
      <c r="F8" s="27" t="inlineStr">
        <is>
          <t>Ayodhya Resto Coffee &amp; Eatery</t>
        </is>
      </c>
      <c r="G8" s="25" t="inlineStr">
        <is>
          <t>Jl. Palagan Tentara Pelajar No.5</t>
        </is>
      </c>
      <c r="H8" s="28" t="inlineStr">
        <is>
          <t>Buka Maps</t>
        </is>
      </c>
      <c r="I8" s="25" t="inlineStr">
        <is>
          <t>±15–20 mnt</t>
        </is>
      </c>
      <c r="J8" s="25" t="inlineStr">
        <is>
          <t>±10 mnt</t>
        </is>
      </c>
      <c r="K8" s="29" t="n">
        <v>130000</v>
      </c>
      <c r="L8" s="25" t="inlineStr">
        <is>
          <t>Pasta/salad/nasi goreng</t>
        </is>
      </c>
      <c r="M8" s="25" t="inlineStr">
        <is>
          <t>Tenang &amp; elegan, di jalur menuju studio bunga.</t>
        </is>
      </c>
      <c r="N8" s="25" t="inlineStr">
        <is>
          <t>Jam buka beda antar sumber — datang ±12.00 paling aman; cek Maps H-1.</t>
        </is>
      </c>
      <c r="O8" s="25" t="inlineStr">
        <is>
          <t>Sebagian terverifikasi (Liputan6, situs resmi)</t>
        </is>
      </c>
    </row>
    <row r="9" ht="78" customHeight="1">
      <c r="A9" s="30" t="n">
        <v>3</v>
      </c>
      <c r="B9" s="31" t="n">
        <v>0.5520833333333334</v>
      </c>
      <c r="C9" s="31" t="n">
        <v>0.6354166666666666</v>
      </c>
      <c r="D9" s="30">
        <f>ROUND((C9-B9)*1440,0)</f>
        <v/>
      </c>
      <c r="E9" s="32" t="inlineStr">
        <is>
          <t>Kegiatan Santai</t>
        </is>
      </c>
      <c r="F9" s="32" t="inlineStr">
        <is>
          <t>Bebungaan Atelier — Private Hobby Class</t>
        </is>
      </c>
      <c r="G9" s="30" t="inlineStr">
        <is>
          <t>Jl. Matahari No.35 CT X, Karanggayam, Caturtunggal</t>
        </is>
      </c>
      <c r="H9" s="33" t="inlineStr">
        <is>
          <t>Buka Maps</t>
        </is>
      </c>
      <c r="I9" s="30" t="inlineStr">
        <is>
          <t>±25 mnt</t>
        </is>
      </c>
      <c r="J9" s="30" t="inlineStr">
        <is>
          <t>±25 mnt</t>
        </is>
      </c>
      <c r="K9" s="34" t="n">
        <v>385000</v>
      </c>
      <c r="L9" s="30" t="inlineStr">
        <is>
          <t>Kelas privat 1–2 orang, 90–120 mnt, semua bahan disediakan</t>
        </is>
      </c>
      <c r="M9" s="30" t="inlineStr">
        <is>
          <t>Konsep 'atmospheric storytelling' lewat bunga; tanpa orang asing = santai &amp; bisa ngobrol.</t>
        </is>
      </c>
      <c r="N9" s="30" t="inlineStr">
        <is>
          <t>BOOKING di bebungaan.com. Harga mulai Rp385 ribu/orang. Opsional: cheesecake Baked by Gines (Jl. Kaliurang No.5) ±5 mnt dari studio, bisa dibawa pulang.</t>
        </is>
      </c>
      <c r="O9" s="30" t="inlineStr">
        <is>
          <t>Terverifikasi (bebungaan.com)</t>
        </is>
      </c>
    </row>
    <row r="10" ht="78" customHeight="1">
      <c r="A10" s="35" t="n">
        <v>4</v>
      </c>
      <c r="B10" s="36" t="n">
        <v>0.65625</v>
      </c>
      <c r="C10" s="36" t="n">
        <v>0.7395833333333334</v>
      </c>
      <c r="D10" s="35">
        <f>ROUND((C10-B10)*1440,0)</f>
        <v/>
      </c>
      <c r="E10" s="37" t="inlineStr">
        <is>
          <t>Makan Malam</t>
        </is>
      </c>
      <c r="F10" s="37" t="inlineStr">
        <is>
          <t>Joglo D'padma</t>
        </is>
      </c>
      <c r="G10" s="35" t="inlineStr">
        <is>
          <t>Jl. Padma No.32, Sariharjo (belakang Hyatt Regency)</t>
        </is>
      </c>
      <c r="H10" s="38" t="inlineStr">
        <is>
          <t>Buka Maps</t>
        </is>
      </c>
      <c r="I10" s="35" t="inlineStr">
        <is>
          <t>±10–15 mnt</t>
        </is>
      </c>
      <c r="J10" s="35" t="inlineStr">
        <is>
          <t>±25 mnt</t>
        </is>
      </c>
      <c r="K10" s="39" t="n">
        <v>70000</v>
      </c>
      <c r="L10" s="35" t="inlineStr">
        <is>
          <t>Masakan Jawa: timlo, nasi bakmoy, sambel tempong, geblek</t>
        </is>
      </c>
      <c r="M10" s="35" t="inlineStr">
        <is>
          <t>Joglo luas &amp; tenang, dekat rumahnya — pulang tinggal sebentar.</t>
        </is>
      </c>
      <c r="N10" s="35" t="inlineStr">
        <is>
          <t>Buka 08.00–22.00. Serahkan buket &amp; kartu di sini.</t>
        </is>
      </c>
      <c r="O10" s="35" t="inlineStr">
        <is>
          <t>Sebagian terverifikasi (TikTok)</t>
        </is>
      </c>
    </row>
    <row r="11">
      <c r="A11" s="40" t="n"/>
      <c r="B11" s="40" t="n"/>
      <c r="C11" s="40" t="n"/>
      <c r="D11" s="40">
        <f>SUM(D7:D10)</f>
        <v/>
      </c>
      <c r="E11" s="40" t="inlineStr">
        <is>
          <t>TOTAL</t>
        </is>
      </c>
      <c r="F11" s="40" t="n"/>
      <c r="G11" s="40" t="n"/>
      <c r="H11" s="40" t="n"/>
      <c r="I11" s="40" t="n"/>
      <c r="J11" s="40" t="n"/>
      <c r="K11" s="41">
        <f>SUM(K7:K10)</f>
        <v/>
      </c>
      <c r="L11" s="40" t="inlineStr">
        <is>
          <t>menit di lokasi / biaya per orang (estimasi)</t>
        </is>
      </c>
      <c r="M11" s="40" t="n"/>
      <c r="N11" s="40" t="n"/>
      <c r="O11" s="40" t="n"/>
    </row>
    <row r="12">
      <c r="A12" s="42" t="inlineStr">
        <is>
          <t>Jeda antar baris = waktu perjalanan. Angka biru = estimasi yang boleh diubah. 'Buka Maps' membuka pencarian Google Maps tempat tsb.</t>
        </is>
      </c>
    </row>
  </sheetData>
  <mergeCells count="6">
    <mergeCell ref="D2:O2"/>
    <mergeCell ref="D4:O4"/>
    <mergeCell ref="A3:C3"/>
    <mergeCell ref="D3:O3"/>
    <mergeCell ref="A4:C4"/>
    <mergeCell ref="A2:C2"/>
  </mergeCells>
  <hyperlinks>
    <hyperlink xmlns:r="http://schemas.openxmlformats.org/officeDocument/2006/relationships" ref="H7" r:id="rId1"/>
    <hyperlink xmlns:r="http://schemas.openxmlformats.org/officeDocument/2006/relationships" ref="H8" r:id="rId2"/>
    <hyperlink xmlns:r="http://schemas.openxmlformats.org/officeDocument/2006/relationships" ref="H9" r:id="rId3"/>
    <hyperlink xmlns:r="http://schemas.openxmlformats.org/officeDocument/2006/relationships" ref="H10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2026-09-27T12:19:31Z</dcterms:created>
  <dcterms:modified xsi:type="dcterms:W3CDTF">2026-09-27T12:19:31Z</dcterms:modified>
</cp:coreProperties>
</file>